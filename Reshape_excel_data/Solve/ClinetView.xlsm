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p-Abdelmomen\Desktop\Excel Task\Solve\"/>
    </mc:Choice>
  </mc:AlternateContent>
  <bookViews>
    <workbookView xWindow="0" yWindow="0" windowWidth="16170" windowHeight="6030"/>
  </bookViews>
  <sheets>
    <sheet name="اسم الصنف" sheetId="2" r:id="rId1"/>
    <sheet name="تصنيف فرعي" sheetId="3" r:id="rId2"/>
    <sheet name="وحده القياس" sheetId="4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P72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G3" i="2"/>
  <c r="G5" i="4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T288" i="2" l="1"/>
</calcChain>
</file>

<file path=xl/sharedStrings.xml><?xml version="1.0" encoding="utf-8"?>
<sst xmlns="http://schemas.openxmlformats.org/spreadsheetml/2006/main" count="5496" uniqueCount="1073">
  <si>
    <t>زيت زيتون</t>
  </si>
  <si>
    <t>زيت شورتنج</t>
  </si>
  <si>
    <t>سمنه كريستال</t>
  </si>
  <si>
    <t>فلفل اسود</t>
  </si>
  <si>
    <t>فلفل ابيض</t>
  </si>
  <si>
    <t>كمون</t>
  </si>
  <si>
    <t>جوزت الطيب</t>
  </si>
  <si>
    <t>حبهان حب</t>
  </si>
  <si>
    <t>حبهان مطحون</t>
  </si>
  <si>
    <t>شطه</t>
  </si>
  <si>
    <t>قرفة عدان</t>
  </si>
  <si>
    <t>قرفه ناعمة</t>
  </si>
  <si>
    <t>قرنفل</t>
  </si>
  <si>
    <t>زعتر بلدي</t>
  </si>
  <si>
    <t>ليمون اسود</t>
  </si>
  <si>
    <t>بصل بودر</t>
  </si>
  <si>
    <t>ثوم بودر</t>
  </si>
  <si>
    <t>حمص الشام</t>
  </si>
  <si>
    <t>ملح كوكس</t>
  </si>
  <si>
    <t>ملح ليمون</t>
  </si>
  <si>
    <t>ملح بونو</t>
  </si>
  <si>
    <t>ملح خشن</t>
  </si>
  <si>
    <t>كامينا اصفر غريب</t>
  </si>
  <si>
    <t>ارز ابيض</t>
  </si>
  <si>
    <t>صلصة روسو 800 جرام</t>
  </si>
  <si>
    <t>صويا صوص</t>
  </si>
  <si>
    <t>كاتشب ظرف*1000</t>
  </si>
  <si>
    <t>هوت صوص</t>
  </si>
  <si>
    <t>بندق مطبخ</t>
  </si>
  <si>
    <t>زبيب</t>
  </si>
  <si>
    <t>دقيق الضحى 1ك مطبخ</t>
  </si>
  <si>
    <t>ريتش باك - بقسماط ناعم</t>
  </si>
  <si>
    <t>توابل ارز مليرز</t>
  </si>
  <si>
    <t>جلاش</t>
  </si>
  <si>
    <t>رقاق</t>
  </si>
  <si>
    <t>بيض</t>
  </si>
  <si>
    <t>جبنه شيدر</t>
  </si>
  <si>
    <t>لبن لمار 1 لتر</t>
  </si>
  <si>
    <t>لبن جاموسي</t>
  </si>
  <si>
    <t>لبن بخيرة 1 لتر</t>
  </si>
  <si>
    <t>لبن نيدو</t>
  </si>
  <si>
    <t>بسله</t>
  </si>
  <si>
    <t>باميه</t>
  </si>
  <si>
    <t>بروست اطياب بارد</t>
  </si>
  <si>
    <t>عدس</t>
  </si>
  <si>
    <t>نعناع باكت</t>
  </si>
  <si>
    <t>ينسون فتله</t>
  </si>
  <si>
    <t>كركديه باكت</t>
  </si>
  <si>
    <t>بن ساده غامق</t>
  </si>
  <si>
    <t>بن ساده فاتح</t>
  </si>
  <si>
    <t>بن محوج فاتح</t>
  </si>
  <si>
    <t>بن محوج غامق</t>
  </si>
  <si>
    <t>سبرايت زيرو كنز</t>
  </si>
  <si>
    <t>كولا زيرو كانز</t>
  </si>
  <si>
    <t>فانتا تفاح كانز</t>
  </si>
  <si>
    <t>شويبس اناناس كانز</t>
  </si>
  <si>
    <t>كانز بريل</t>
  </si>
  <si>
    <t>كانز ريد بول</t>
  </si>
  <si>
    <t>سبرايت زيرو زجاج</t>
  </si>
  <si>
    <t>كولا زيرو زجاج</t>
  </si>
  <si>
    <t>شويبس اناناس زجاج</t>
  </si>
  <si>
    <t>مياه فواره</t>
  </si>
  <si>
    <t>مياه فواره تفاح</t>
  </si>
  <si>
    <t>مياه فواره توت</t>
  </si>
  <si>
    <t>عسل ابيض</t>
  </si>
  <si>
    <t>كيوي توبنج</t>
  </si>
  <si>
    <t>شربات الخوخ توبنج</t>
  </si>
  <si>
    <t>كراميل فليفر</t>
  </si>
  <si>
    <t>بطيخ فليفر</t>
  </si>
  <si>
    <t>نعناع مهيتو فليفر</t>
  </si>
  <si>
    <t>بلو كرسو فليفر</t>
  </si>
  <si>
    <t>فشار فليفر .750</t>
  </si>
  <si>
    <t>رومان فليفر</t>
  </si>
  <si>
    <t>ليمون مركز فليفر</t>
  </si>
  <si>
    <t>تفاح اخضر فليفر</t>
  </si>
  <si>
    <t>كريز فليفر</t>
  </si>
  <si>
    <t>بندق فليفر</t>
  </si>
  <si>
    <t>طبق فل *100</t>
  </si>
  <si>
    <t>علبه 10 اونز</t>
  </si>
  <si>
    <t>غطاء علب 8 اونز</t>
  </si>
  <si>
    <t>غطاء كوب 16 اونز</t>
  </si>
  <si>
    <t>غطاء كوب 8 اونز</t>
  </si>
  <si>
    <t>اكياس ثلاجه</t>
  </si>
  <si>
    <t>اكياس تغليف بلاستيك</t>
  </si>
  <si>
    <t>شاليموه عريض</t>
  </si>
  <si>
    <t>شاليموه سوسته رفيع</t>
  </si>
  <si>
    <t>رول فويل *12 ( سيلفر )</t>
  </si>
  <si>
    <t>رول استرتش 35 سم</t>
  </si>
  <si>
    <t>علبه بطاطس مطبوعة</t>
  </si>
  <si>
    <t>ورق زبده ساده</t>
  </si>
  <si>
    <t>ورق كرافت 45 سم</t>
  </si>
  <si>
    <t>ورق كرافت 55 سم</t>
  </si>
  <si>
    <t>كابتن اوردر</t>
  </si>
  <si>
    <t>منيو فود</t>
  </si>
  <si>
    <t>طلب صرف</t>
  </si>
  <si>
    <t>اذن صرف</t>
  </si>
  <si>
    <t>دفتر حجز صاله</t>
  </si>
  <si>
    <t>كارت حجز استاند</t>
  </si>
  <si>
    <t>دفتر صرف وجبات</t>
  </si>
  <si>
    <t>علبه ايس كريم مفصله</t>
  </si>
  <si>
    <t>صنيه بلاستيك اسود</t>
  </si>
  <si>
    <t>كوفير صاله</t>
  </si>
  <si>
    <t>طاجن صغير</t>
  </si>
  <si>
    <t>قماش تلميع</t>
  </si>
  <si>
    <t>مروحه الكبابجي</t>
  </si>
  <si>
    <t>هير نت ( توك )</t>
  </si>
  <si>
    <t>معطر ارضيات سائل</t>
  </si>
  <si>
    <t>معطر جو سائل</t>
  </si>
  <si>
    <t>ملمع رخام سائل</t>
  </si>
  <si>
    <t>معطر جو</t>
  </si>
  <si>
    <t>ملمع خشب</t>
  </si>
  <si>
    <t>اكياس قمامه ص</t>
  </si>
  <si>
    <t>اكياس قمامه ك ( رابش )</t>
  </si>
  <si>
    <t>اسبونش حوض</t>
  </si>
  <si>
    <t>ديتول</t>
  </si>
  <si>
    <t>عصا خشب</t>
  </si>
  <si>
    <t>كف مساحة</t>
  </si>
  <si>
    <t>كف مقشة خشن</t>
  </si>
  <si>
    <t>كف مقشة</t>
  </si>
  <si>
    <t>فلاش مركز</t>
  </si>
  <si>
    <t>هاند سوب</t>
  </si>
  <si>
    <t>استرليم جيل</t>
  </si>
  <si>
    <t>معقم فوم</t>
  </si>
  <si>
    <t>مساحه زجاج</t>
  </si>
  <si>
    <t>مساحه معدن</t>
  </si>
  <si>
    <t>كاوتش مساحه</t>
  </si>
  <si>
    <t>فوط فيبر اصفر</t>
  </si>
  <si>
    <t>مزيل املاح</t>
  </si>
  <si>
    <t>ديد فوس للذباب</t>
  </si>
  <si>
    <t>هاربيك منظف حمامات</t>
  </si>
  <si>
    <t>بخاخه فارغه</t>
  </si>
  <si>
    <t>نشافه اورتريكس</t>
  </si>
  <si>
    <t>فحم</t>
  </si>
  <si>
    <t>صنيه وسط استانلس</t>
  </si>
  <si>
    <t>صنيه صغيره استانلس</t>
  </si>
  <si>
    <t>صنيه كبيره استانلس</t>
  </si>
  <si>
    <t>تريه جاك</t>
  </si>
  <si>
    <t>باسكت عيش</t>
  </si>
  <si>
    <t>فولدر شيك</t>
  </si>
  <si>
    <t>معلقه استانلس سلفر</t>
  </si>
  <si>
    <t>شوكه استانلس سلفر</t>
  </si>
  <si>
    <t>سكينه استانلس سلفر</t>
  </si>
  <si>
    <t>فورمه ارز</t>
  </si>
  <si>
    <t>فورمه ارز وسط</t>
  </si>
  <si>
    <t>طاسه قلي</t>
  </si>
  <si>
    <t>طاسه 30 سم</t>
  </si>
  <si>
    <t>سفنديش وسط</t>
  </si>
  <si>
    <t>سفنديش كتكوت شورب</t>
  </si>
  <si>
    <t>ستوار وسط</t>
  </si>
  <si>
    <t>ستوار كبير</t>
  </si>
  <si>
    <t>باسكت قمامه صغير</t>
  </si>
  <si>
    <t>سكريه بار</t>
  </si>
  <si>
    <t>طلق بار</t>
  </si>
  <si>
    <t>معلقه ايس كريم</t>
  </si>
  <si>
    <t>بلانشه خشب</t>
  </si>
  <si>
    <t>كوريك تلج</t>
  </si>
  <si>
    <t>مصفه كبيره</t>
  </si>
  <si>
    <t>طاسه تقديم 18 سم</t>
  </si>
  <si>
    <t>شنوار قمع</t>
  </si>
  <si>
    <t>مبشره</t>
  </si>
  <si>
    <t>معلقه غرف</t>
  </si>
  <si>
    <t>عصاره ليمون</t>
  </si>
  <si>
    <t>مقصوصه استانلس</t>
  </si>
  <si>
    <t>مقصوصه عمود</t>
  </si>
  <si>
    <t>قميص اسود</t>
  </si>
  <si>
    <t>بنطلون اسود</t>
  </si>
  <si>
    <t>مكينه استرتش</t>
  </si>
  <si>
    <t>مكينه ورق كرافت</t>
  </si>
  <si>
    <t>مقشره</t>
  </si>
  <si>
    <t>سكينه 6 بوصه</t>
  </si>
  <si>
    <t>مسن سكاكين</t>
  </si>
  <si>
    <t>يد خشب كريك</t>
  </si>
  <si>
    <t>شوكه تقليب</t>
  </si>
  <si>
    <t>صفايه سلك</t>
  </si>
  <si>
    <t>كوب استانلس كبير</t>
  </si>
  <si>
    <t>شياله بطاطس</t>
  </si>
  <si>
    <t>اسكليت فاهيته مربع</t>
  </si>
  <si>
    <t>علبه توابل استانلس 6 عين</t>
  </si>
  <si>
    <t>علبه توابل بلاستيك 6 عين</t>
  </si>
  <si>
    <t>مقطع</t>
  </si>
  <si>
    <t>مج زجاج</t>
  </si>
  <si>
    <t>علبه استرليم فارغه</t>
  </si>
  <si>
    <t>خلاط كاتم</t>
  </si>
  <si>
    <t>شيكار بار</t>
  </si>
  <si>
    <t>عصا مكبس</t>
  </si>
  <si>
    <t>حامل معالق بار</t>
  </si>
  <si>
    <t>مسطره اوردرات</t>
  </si>
  <si>
    <t>مقلايه مقاس 32 سم</t>
  </si>
  <si>
    <t>مقلايه مقاس 18 سم</t>
  </si>
  <si>
    <t>مغناطيس سكاكين</t>
  </si>
  <si>
    <t>طاسه جريل</t>
  </si>
  <si>
    <t>لوش مقاس 14 سم</t>
  </si>
  <si>
    <t>سكينه جرناشه</t>
  </si>
  <si>
    <t>مدق حديد</t>
  </si>
  <si>
    <t>عصاره ليمون كبيره</t>
  </si>
  <si>
    <t>ملمع نحاس</t>
  </si>
  <si>
    <t>كاب زيتي</t>
  </si>
  <si>
    <t>كاب نبيتي</t>
  </si>
  <si>
    <t>جاكت شيف</t>
  </si>
  <si>
    <t>كاب شيف</t>
  </si>
  <si>
    <t>تي شيرت اصطاف اسود</t>
  </si>
  <si>
    <t>كمامات</t>
  </si>
  <si>
    <t>مسدس نار بار</t>
  </si>
  <si>
    <t>معلقه استانلس صغيره</t>
  </si>
  <si>
    <t>كراف احجام للبار</t>
  </si>
  <si>
    <t>برطمان فارغ</t>
  </si>
  <si>
    <t>جاروف استانلس بار</t>
  </si>
  <si>
    <t>بلاس ميت بلاستيك بار</t>
  </si>
  <si>
    <t>شوكه معلقه بار</t>
  </si>
  <si>
    <t>باسكت زباله بلاستيك كبير</t>
  </si>
  <si>
    <t>مضرب خشب فاهيته</t>
  </si>
  <si>
    <t>صندوق دليفرى</t>
  </si>
  <si>
    <t>فلتر</t>
  </si>
  <si>
    <t>شمعه فاتر</t>
  </si>
  <si>
    <t>كفته</t>
  </si>
  <si>
    <t>طرب</t>
  </si>
  <si>
    <t>مناديل طرب</t>
  </si>
  <si>
    <t>هالك طرب</t>
  </si>
  <si>
    <t>كباب بتلو</t>
  </si>
  <si>
    <t>ريش بتلو</t>
  </si>
  <si>
    <t>تتبيله كبده</t>
  </si>
  <si>
    <t>شيش</t>
  </si>
  <si>
    <t>مدابح</t>
  </si>
  <si>
    <t>مدابح مستويه</t>
  </si>
  <si>
    <t>حواوشي</t>
  </si>
  <si>
    <t>كوارع</t>
  </si>
  <si>
    <t>مفروم مطبخ</t>
  </si>
  <si>
    <t>مفروم مطبخ جاهز</t>
  </si>
  <si>
    <t>ريش رستو</t>
  </si>
  <si>
    <t>ليه مفرومه</t>
  </si>
  <si>
    <t>لحمه بتلو</t>
  </si>
  <si>
    <t>لحمه فرن</t>
  </si>
  <si>
    <t>لحمه مبكبكه</t>
  </si>
  <si>
    <t>مدابح مبكبكه</t>
  </si>
  <si>
    <t>لحمه كباب حله</t>
  </si>
  <si>
    <t>ورقه لحمه</t>
  </si>
  <si>
    <t>كبده جريل مطبخ</t>
  </si>
  <si>
    <t>فاهيته فراخ</t>
  </si>
  <si>
    <t>فاهيته لحمه</t>
  </si>
  <si>
    <t>زنجر بارد</t>
  </si>
  <si>
    <t>بط</t>
  </si>
  <si>
    <t>صدور فراخ</t>
  </si>
  <si>
    <t>فراخ بروست</t>
  </si>
  <si>
    <t>فراخ رول</t>
  </si>
  <si>
    <t>موزه بتلو</t>
  </si>
  <si>
    <t>حمام محشي</t>
  </si>
  <si>
    <t>حمام طواجن</t>
  </si>
  <si>
    <t>ممبار</t>
  </si>
  <si>
    <t>كوردن بلو</t>
  </si>
  <si>
    <t>اسبرنج فراخ</t>
  </si>
  <si>
    <t>اسبرنج جبنه</t>
  </si>
  <si>
    <t>ارانب</t>
  </si>
  <si>
    <t>بيكاتا فراخ</t>
  </si>
  <si>
    <t>بيكاتا لحمه</t>
  </si>
  <si>
    <t>سمنه بلدي - كفر الزيات</t>
  </si>
  <si>
    <t>قشطه</t>
  </si>
  <si>
    <t>بابا غنوج</t>
  </si>
  <si>
    <t>خيار مخلل</t>
  </si>
  <si>
    <t>راهب</t>
  </si>
  <si>
    <t>مش</t>
  </si>
  <si>
    <t>مسقعه</t>
  </si>
  <si>
    <t>جبنه بالطماطم</t>
  </si>
  <si>
    <t>مخلل زيتون</t>
  </si>
  <si>
    <t>مخلل مشكل</t>
  </si>
  <si>
    <t>رز بلبن</t>
  </si>
  <si>
    <t>مهلبيه</t>
  </si>
  <si>
    <t>قرع عسل</t>
  </si>
  <si>
    <t>كنافه</t>
  </si>
  <si>
    <t>كيبورد</t>
  </si>
  <si>
    <t>عده تليفون</t>
  </si>
  <si>
    <t>فنجان كابتشينو</t>
  </si>
  <si>
    <t>خرطوم</t>
  </si>
  <si>
    <t>غطاء طبق 2 عين</t>
  </si>
  <si>
    <t>غطاء علب سلطه 4 اونز</t>
  </si>
  <si>
    <t>اسباتيوله</t>
  </si>
  <si>
    <t>مضرب خشب طاجن كبير</t>
  </si>
  <si>
    <t>مضرب خشب طاجن صغير</t>
  </si>
  <si>
    <t>مضرب خشب طاجن ورق عنب</t>
  </si>
  <si>
    <t>استيرنو</t>
  </si>
  <si>
    <t>طبق مركب</t>
  </si>
  <si>
    <t>كاب اصفر</t>
  </si>
  <si>
    <t>طبق استانلس اصطاف كبير</t>
  </si>
  <si>
    <t>طبق استانلس اصطاف صغير</t>
  </si>
  <si>
    <t>معلقه استانلس اصطاف</t>
  </si>
  <si>
    <t>اقراص كلور منظف خضار</t>
  </si>
  <si>
    <t>استينر اعلان</t>
  </si>
  <si>
    <t>علبه ميل كونتينر وسط بالغطاء</t>
  </si>
  <si>
    <t>معلقه عسل خشب كبير</t>
  </si>
  <si>
    <t>معلقه عسل خشب صغيره</t>
  </si>
  <si>
    <t>سلاح منشار</t>
  </si>
  <si>
    <t>سفنديش حفلات</t>
  </si>
  <si>
    <t>فنجان قهوه زجاج</t>
  </si>
  <si>
    <t>سبرتايه قهوه</t>
  </si>
  <si>
    <t>فسدق</t>
  </si>
  <si>
    <t>انابيب ابو فارس</t>
  </si>
  <si>
    <t>انابيب ابو ياسر</t>
  </si>
  <si>
    <t>بلح</t>
  </si>
  <si>
    <t>لوش1 اونز</t>
  </si>
  <si>
    <t>بندق مقشر</t>
  </si>
  <si>
    <t>مكينه تقطيع بيض</t>
  </si>
  <si>
    <t>هراسه فول</t>
  </si>
  <si>
    <t>لوز</t>
  </si>
  <si>
    <t>كاجو</t>
  </si>
  <si>
    <t>منيو فود سحور</t>
  </si>
  <si>
    <t>رابر كوتش</t>
  </si>
  <si>
    <t>حلاوة طحينيه</t>
  </si>
  <si>
    <t>جبنه بيضا بالطماطم سحور</t>
  </si>
  <si>
    <t>قشطه سحور</t>
  </si>
  <si>
    <t>جبنه قريش سحور</t>
  </si>
  <si>
    <t>جبنه فيتا سحور</t>
  </si>
  <si>
    <t>مورته</t>
  </si>
  <si>
    <t>قشطه نباتي علب</t>
  </si>
  <si>
    <t>كحك</t>
  </si>
  <si>
    <t>دقه حمرا</t>
  </si>
  <si>
    <t>ثوم سلطه</t>
  </si>
  <si>
    <t>جلابيه متر</t>
  </si>
  <si>
    <t>خروف</t>
  </si>
  <si>
    <t>كزبرة - كسبره</t>
  </si>
  <si>
    <t>شاي ليبتون اسود - فتله</t>
  </si>
  <si>
    <t>مياه نسله قروره</t>
  </si>
  <si>
    <t>بكر فيزا</t>
  </si>
  <si>
    <t>معلقة بلاستيك صغيره</t>
  </si>
  <si>
    <t>شاش ( ليمون )</t>
  </si>
  <si>
    <t>فوط زرقاء</t>
  </si>
  <si>
    <t>معطر ارضيات - خوخ 1 لتر</t>
  </si>
  <si>
    <t>قاعد سفن نص</t>
  </si>
  <si>
    <t>بلانشه بلاستيك</t>
  </si>
  <si>
    <t>صوص كراميل Gsf</t>
  </si>
  <si>
    <t>كابه خلاط Keen Wood</t>
  </si>
  <si>
    <t>زيت ذره كريستال</t>
  </si>
  <si>
    <t>كرسبي باربكيو اكياس</t>
  </si>
  <si>
    <t>رده 40</t>
  </si>
  <si>
    <t>خميره فوريه</t>
  </si>
  <si>
    <t>بطاطس فارم فريتس</t>
  </si>
  <si>
    <t>سكر</t>
  </si>
  <si>
    <t>سكر باكيت مطبوع</t>
  </si>
  <si>
    <t>نسكافيه جولد</t>
  </si>
  <si>
    <t>ويب بلاس كريم</t>
  </si>
  <si>
    <t>نعناع اخضر فليفر</t>
  </si>
  <si>
    <t>غطاء علبه 10اونز</t>
  </si>
  <si>
    <t>علبه 16 اونز</t>
  </si>
  <si>
    <t>غطاء علبه 16</t>
  </si>
  <si>
    <t>غطاء علب 40 اونز</t>
  </si>
  <si>
    <t>كوب 16 اونز</t>
  </si>
  <si>
    <t>كوب 12 اونز</t>
  </si>
  <si>
    <t>غطاء كوب 12 اونز</t>
  </si>
  <si>
    <t>كوب 4 اونز</t>
  </si>
  <si>
    <t>كوب 8 اونز</t>
  </si>
  <si>
    <t>شنطة وسط 38*40</t>
  </si>
  <si>
    <t>خله اسنان</t>
  </si>
  <si>
    <t>علبة حواوشي</t>
  </si>
  <si>
    <t>بكر كاشير</t>
  </si>
  <si>
    <t>معلقة بلاستيك كبيره</t>
  </si>
  <si>
    <t>سكينه بلاستيك</t>
  </si>
  <si>
    <t>شوكه بلاستيك</t>
  </si>
  <si>
    <t>استيلر خشب</t>
  </si>
  <si>
    <t>طاجن كبير</t>
  </si>
  <si>
    <t>طاجن ورق عنب</t>
  </si>
  <si>
    <t>طاجن نجرسكو</t>
  </si>
  <si>
    <t>جلافز اسود</t>
  </si>
  <si>
    <t>جلافز بلاستك</t>
  </si>
  <si>
    <t>كلور جركن</t>
  </si>
  <si>
    <t>جلانس - ملمع زجاج</t>
  </si>
  <si>
    <t>سافلون</t>
  </si>
  <si>
    <t>حله ارز حفلات</t>
  </si>
  <si>
    <t>فنجان قهوه نحاس</t>
  </si>
  <si>
    <t>دقماق تلج</t>
  </si>
  <si>
    <t>شنوار استانلس</t>
  </si>
  <si>
    <t>سكينه 8 بوصه</t>
  </si>
  <si>
    <t>كاب اسود</t>
  </si>
  <si>
    <t>معلقه استانلس كبيره</t>
  </si>
  <si>
    <t>كانكه قهوه</t>
  </si>
  <si>
    <t>بوله استانلس بار</t>
  </si>
  <si>
    <t>فرشه</t>
  </si>
  <si>
    <t>دوش مطبخ</t>
  </si>
  <si>
    <t>زنجر حار</t>
  </si>
  <si>
    <t>اسبرنج لحمه</t>
  </si>
  <si>
    <t>ماوس</t>
  </si>
  <si>
    <t>فنجان اسبريسو</t>
  </si>
  <si>
    <t>غطاء طبق ريزو</t>
  </si>
  <si>
    <t>بطاطس ويدجز</t>
  </si>
  <si>
    <t>زجاجه</t>
  </si>
  <si>
    <t>علبه</t>
  </si>
  <si>
    <t>كيس</t>
  </si>
  <si>
    <t>شوال</t>
  </si>
  <si>
    <t>جركن</t>
  </si>
  <si>
    <t>لفه</t>
  </si>
  <si>
    <t>كانز</t>
  </si>
  <si>
    <t>باكيت</t>
  </si>
  <si>
    <t>طوره</t>
  </si>
  <si>
    <t>طبق</t>
  </si>
  <si>
    <t>متر</t>
  </si>
  <si>
    <t>روز ماري</t>
  </si>
  <si>
    <t>ببريكا</t>
  </si>
  <si>
    <t>فارم سيل</t>
  </si>
  <si>
    <t>كروكم</t>
  </si>
  <si>
    <t>ملح صيني</t>
  </si>
  <si>
    <t>كامينا احمر راسبيري</t>
  </si>
  <si>
    <t>ديمي جلاس</t>
  </si>
  <si>
    <t>ماجي فراج</t>
  </si>
  <si>
    <t>ماجي لحمه</t>
  </si>
  <si>
    <t>مكرونة مرمرية 1000 جرام</t>
  </si>
  <si>
    <t>دبس رومان</t>
  </si>
  <si>
    <t>مستردة</t>
  </si>
  <si>
    <t>جبنه وتزايلا</t>
  </si>
  <si>
    <t>جبنه رومي</t>
  </si>
  <si>
    <t>شاي العروسة</t>
  </si>
  <si>
    <t>شاي الوردة</t>
  </si>
  <si>
    <t>شاي اخضر ليبتون</t>
  </si>
  <si>
    <t>صوص شوكلت Gsf</t>
  </si>
  <si>
    <t>شويبس يوسفي</t>
  </si>
  <si>
    <t>مياه نسله صغيرة</t>
  </si>
  <si>
    <t>مياه دساني</t>
  </si>
  <si>
    <t>عصير مانجو زجاجه</t>
  </si>
  <si>
    <t>عصير برتقال زجاجه</t>
  </si>
  <si>
    <t>عصير جوافة زجاجه</t>
  </si>
  <si>
    <t>عصير فروله زجاجه</t>
  </si>
  <si>
    <t>راجون - ريد</t>
  </si>
  <si>
    <t>غطاء سفنديش 1 - 3</t>
  </si>
  <si>
    <t>جوز الهند توبنج</t>
  </si>
  <si>
    <t>موز توبنج</t>
  </si>
  <si>
    <t>توت ازرق توبنج</t>
  </si>
  <si>
    <t>باشيون فروت توبنج</t>
  </si>
  <si>
    <t>فرواله توبنج</t>
  </si>
  <si>
    <t>تفاح توبنج</t>
  </si>
  <si>
    <t>مانجو توبنج</t>
  </si>
  <si>
    <t>كريز توبنج</t>
  </si>
  <si>
    <t>توبنج يوزو</t>
  </si>
  <si>
    <t>بطيخ توبنج</t>
  </si>
  <si>
    <t>ايريش مركز فليفر</t>
  </si>
  <si>
    <t>توت العنبية فليفر شيري</t>
  </si>
  <si>
    <t>فانيليا فليفر</t>
  </si>
  <si>
    <t>كراميل صوص توبنج</t>
  </si>
  <si>
    <t>شنطة كبيره 45*60</t>
  </si>
  <si>
    <t>شاليموه مغلف</t>
  </si>
  <si>
    <t>منيو تيك اواي</t>
  </si>
  <si>
    <t>استكر صلاحية</t>
  </si>
  <si>
    <t>دفتر حجز طاوله انتظار</t>
  </si>
  <si>
    <t>ورق جرائد</t>
  </si>
  <si>
    <t>طبق ريزوا</t>
  </si>
  <si>
    <t>طاجن محشي باللحمة</t>
  </si>
  <si>
    <t>صابون استيوارد</t>
  </si>
  <si>
    <t>بسكت زباله استانلس كبير</t>
  </si>
  <si>
    <t>مقشة صاله بالجاروف</t>
  </si>
  <si>
    <t>مسلك بالوعات</t>
  </si>
  <si>
    <t>بوتاس شكارة</t>
  </si>
  <si>
    <t>استرليم معقم 1 لتر</t>
  </si>
  <si>
    <t>شبك شواية صغير</t>
  </si>
  <si>
    <t>شبك شواية كبير</t>
  </si>
  <si>
    <t>شبك شواية وسط</t>
  </si>
  <si>
    <t>شاورمة فراخ</t>
  </si>
  <si>
    <t>شاورمة لحمه</t>
  </si>
  <si>
    <t>ابرون</t>
  </si>
  <si>
    <t>استكانة زجاج</t>
  </si>
  <si>
    <t>ستوار 10</t>
  </si>
  <si>
    <t>استيك مشوي</t>
  </si>
  <si>
    <t>اسكليت فاهيته بيضاوي</t>
  </si>
  <si>
    <t>اندر لاين صيني قهوه</t>
  </si>
  <si>
    <t>اندر لاين كابتشينو</t>
  </si>
  <si>
    <t>بانر رول</t>
  </si>
  <si>
    <t>طابعه</t>
  </si>
  <si>
    <t>اسكالوب بانيه</t>
  </si>
  <si>
    <t>اسكالوب لحمه</t>
  </si>
  <si>
    <t>انبوبة غاز صغيره</t>
  </si>
  <si>
    <t>انبوبة غاز كبير</t>
  </si>
  <si>
    <t>اندر لاين اسبريسو</t>
  </si>
  <si>
    <t>اناناس توبنج</t>
  </si>
  <si>
    <t>بن اسبريسو لافازا</t>
  </si>
  <si>
    <t>سلك الامونيوم ناعم</t>
  </si>
  <si>
    <t>شاي ليبتون انجليزي</t>
  </si>
  <si>
    <t>بوله ريمكن عسل</t>
  </si>
  <si>
    <t>تريه دائري</t>
  </si>
  <si>
    <t>تريه مستطيل</t>
  </si>
  <si>
    <t>تمر هندي بودر</t>
  </si>
  <si>
    <t>تي شيرت اسود كم</t>
  </si>
  <si>
    <t>تي شيرت بوليفار</t>
  </si>
  <si>
    <t>تي شيرت رصاصي كم</t>
  </si>
  <si>
    <t>تي شيرت زيتي كم</t>
  </si>
  <si>
    <t>تي شيرت نبيتي كم</t>
  </si>
  <si>
    <t>تي شيرت اخضر - زيتي</t>
  </si>
  <si>
    <t>تي شيرت نبيتي</t>
  </si>
  <si>
    <t>جيجار معياري</t>
  </si>
  <si>
    <t>حامل ادوات نظافة</t>
  </si>
  <si>
    <t>حمام مشوي</t>
  </si>
  <si>
    <t>دوش ضاني شواية</t>
  </si>
  <si>
    <t>ديك رومي</t>
  </si>
  <si>
    <t>ام علي</t>
  </si>
  <si>
    <t>براد شاي نحاس</t>
  </si>
  <si>
    <t>بن تركي اصطاف</t>
  </si>
  <si>
    <t>جدي</t>
  </si>
  <si>
    <t>خل عادي</t>
  </si>
  <si>
    <t>خل وادي فود</t>
  </si>
  <si>
    <t>خلاط عادي</t>
  </si>
  <si>
    <t>رسفتي حجز خشب</t>
  </si>
  <si>
    <t>رشاش مبيد حشري</t>
  </si>
  <si>
    <t>ريش ضاني</t>
  </si>
  <si>
    <t>زبادي يوناني</t>
  </si>
  <si>
    <t>سبرايت زجاج 350 ملي</t>
  </si>
  <si>
    <t>سجق بقري</t>
  </si>
  <si>
    <t>سجق بقري جاهز</t>
  </si>
  <si>
    <t>سجق ضاني</t>
  </si>
  <si>
    <t>سيترس منظف كراسي</t>
  </si>
  <si>
    <t>صدور مشوي</t>
  </si>
  <si>
    <t>عكاوي بقري</t>
  </si>
  <si>
    <t>علبه توابل استانلس فردي</t>
  </si>
  <si>
    <t>عيش شامي</t>
  </si>
  <si>
    <t>فانتا برتقال زجاج 350 ملي</t>
  </si>
  <si>
    <t>فخده ضاني</t>
  </si>
  <si>
    <t>فراخ بلدي</t>
  </si>
  <si>
    <t>فلايت ضاني</t>
  </si>
  <si>
    <t>فلفليه صيني</t>
  </si>
  <si>
    <t>فنجان قهوه صيني</t>
  </si>
  <si>
    <t>قلب بقري</t>
  </si>
  <si>
    <t>كاري</t>
  </si>
  <si>
    <t>كباب ضاني</t>
  </si>
  <si>
    <t>كبده بقري</t>
  </si>
  <si>
    <t>كبده ضاني خام</t>
  </si>
  <si>
    <t>كرسي اطفال</t>
  </si>
  <si>
    <t>كرسي متحرك</t>
  </si>
  <si>
    <t>كلاوي بقري</t>
  </si>
  <si>
    <t>كلاوي ضاني</t>
  </si>
  <si>
    <t>كوب معياري</t>
  </si>
  <si>
    <t>كوفير تيك اواي</t>
  </si>
  <si>
    <t>مج شاي زجاج</t>
  </si>
  <si>
    <t>مخاصي بقري</t>
  </si>
  <si>
    <t>معقم فوم ايدي</t>
  </si>
  <si>
    <t>موزه ضاني</t>
  </si>
  <si>
    <t>ورق لوري</t>
  </si>
  <si>
    <t>ريش رستو جاهزة</t>
  </si>
  <si>
    <t>زجاج شعله العروسة</t>
  </si>
  <si>
    <t>سفنديش غويط</t>
  </si>
  <si>
    <t>ستوار صغير</t>
  </si>
  <si>
    <t>مساحة بلاستيك</t>
  </si>
  <si>
    <t>سكينه مفرمة</t>
  </si>
  <si>
    <t>سمبوسك جبنه</t>
  </si>
  <si>
    <t>سمبوسك لحمه</t>
  </si>
  <si>
    <t>سيخ شك شواية صغير</t>
  </si>
  <si>
    <t>سيخ شك شواية كبير</t>
  </si>
  <si>
    <t>طفاية حريق بافاريا صغيره</t>
  </si>
  <si>
    <t>طفاية حريق بافاريا كبيره</t>
  </si>
  <si>
    <t>طفاية سجائر استانلس</t>
  </si>
  <si>
    <t>طفاية سجائر اسود</t>
  </si>
  <si>
    <t>عربه موب ترولي</t>
  </si>
  <si>
    <t>فتاحة علب</t>
  </si>
  <si>
    <t>فراخ شواية</t>
  </si>
  <si>
    <t>فراخ كريمة</t>
  </si>
  <si>
    <t>كبده ضاني جاهزة</t>
  </si>
  <si>
    <t>كلاوي ضاني جاهزة</t>
  </si>
  <si>
    <t>كنكه قهوه نحاس</t>
  </si>
  <si>
    <t>كوارع جاهزة مخليه</t>
  </si>
  <si>
    <t>لوج صوص</t>
  </si>
  <si>
    <t>ماسك توبنج</t>
  </si>
  <si>
    <t>ماكينة قهوه اوكا</t>
  </si>
  <si>
    <t>مصفه الامونيوم 50 سم</t>
  </si>
  <si>
    <t>مصفه الامونيوم 60 سم</t>
  </si>
  <si>
    <t>معلقه سيلكون</t>
  </si>
  <si>
    <t>مواسير شوربة</t>
  </si>
  <si>
    <t>نيفا جاهزة</t>
  </si>
  <si>
    <t>وش مفرمة</t>
  </si>
  <si>
    <t>اندر لاين زجاج</t>
  </si>
  <si>
    <t>جوانتى استيورد</t>
  </si>
  <si>
    <t>جوانتى حراري</t>
  </si>
  <si>
    <t>كوزلك استيوارد</t>
  </si>
  <si>
    <t>مريلة جلد استيوارد</t>
  </si>
  <si>
    <t>كوب مياه - 180 ملي</t>
  </si>
  <si>
    <t>اكياس جزارة</t>
  </si>
  <si>
    <t>اكياس جزارة كوارع</t>
  </si>
  <si>
    <t>جست كومنت ( كارت اقتراحات )</t>
  </si>
  <si>
    <t>مناديل سحب ( سي فولد )*20</t>
  </si>
  <si>
    <t>كريمة وايت ( كريمة خفق )</t>
  </si>
  <si>
    <t>غيار ماب ( شرشوبة )</t>
  </si>
  <si>
    <t>غيار ماب ( شرشوبة ) عريض</t>
  </si>
  <si>
    <t>طاسه 32 سم</t>
  </si>
  <si>
    <t>طاسه 26 سم</t>
  </si>
  <si>
    <t>سفنديش 15 سم</t>
  </si>
  <si>
    <t>سفنديش10 سم</t>
  </si>
  <si>
    <t>كسرولة مقاس 16 سم</t>
  </si>
  <si>
    <t>لوش استانلس 8 سم</t>
  </si>
  <si>
    <t>لوش استانلس 10 سم</t>
  </si>
  <si>
    <t>لوش استانلس 12 سم</t>
  </si>
  <si>
    <t>لوش استانلس 16 سم</t>
  </si>
  <si>
    <t>مصفه استانلس 55 سم</t>
  </si>
  <si>
    <t>سكينه 28 سم</t>
  </si>
  <si>
    <t>سكينه 26 سم</t>
  </si>
  <si>
    <t>سكينه 20 سم</t>
  </si>
  <si>
    <t>صاج فرن 40*60 سم</t>
  </si>
  <si>
    <t>صاج فرن 50*70 سم</t>
  </si>
  <si>
    <t>كسرولة 26 سم</t>
  </si>
  <si>
    <t>صنيه نحاس 30 سم</t>
  </si>
  <si>
    <t>صنيه نحاس50 سم</t>
  </si>
  <si>
    <t>صنيه نحاس70 سم</t>
  </si>
  <si>
    <t>كولا زجاج 350 ملي</t>
  </si>
  <si>
    <t>حله الامونيوم كبيره 65 ملي</t>
  </si>
  <si>
    <t>شعريه 400 جرام ال مليكة</t>
  </si>
  <si>
    <t>شعريه ال مليكة 1000 جرام</t>
  </si>
  <si>
    <t>سبرايت 300 ملي</t>
  </si>
  <si>
    <t>كولا300 ملي كانز</t>
  </si>
  <si>
    <t>فراخ كا مليه</t>
  </si>
  <si>
    <t>ايس كريم ليمون - جولد استون 5 كيلوجرام</t>
  </si>
  <si>
    <t>عصير جهينة 1 لتر</t>
  </si>
  <si>
    <t>لبن رايب 1 لتر</t>
  </si>
  <si>
    <t>مشروم شرائح 400 جرام</t>
  </si>
  <si>
    <t>مسترده 235 جرام</t>
  </si>
  <si>
    <t>زبادي جهينة 3 كيلوجرام</t>
  </si>
  <si>
    <t>زبادي جهينة 5 كيلوجرام</t>
  </si>
  <si>
    <t>مليوخية</t>
  </si>
  <si>
    <t>مياه فلو 600 ملي</t>
  </si>
  <si>
    <t>ايس كريم مستكة - جولد استون 5 كيلوجرام</t>
  </si>
  <si>
    <t>ايس كريم كراميل - جولد استون 5 كيلوجرام</t>
  </si>
  <si>
    <t>ايس كريم قهوه - جولد ستون 5 كيلوجرام</t>
  </si>
  <si>
    <t>ايس كريم بسكويت - جولد استون 5 كيلوجرام</t>
  </si>
  <si>
    <t>ايس كريم فراولة - جولد استون 5 كيلوجرام</t>
  </si>
  <si>
    <t>ايس كريم مانجو - جولد استون 5 كيلوجرام</t>
  </si>
  <si>
    <t>ايس كريم توت - جولد استون 5 كيلوجرام</t>
  </si>
  <si>
    <t>ايس كريم فانيليا - جولد استون 5 كيلوجرام</t>
  </si>
  <si>
    <t>ايس كريم شكولاتة - جولد استون 5 كيلوجرام</t>
  </si>
  <si>
    <t>ايس كريم موكا - جولد استون 5 كيلوجرام</t>
  </si>
  <si>
    <t>بوله مليامين 17 سم</t>
  </si>
  <si>
    <t>اندر لاين مليامين بوله شوربة</t>
  </si>
  <si>
    <t>طرب جاهز مليفوف</t>
  </si>
  <si>
    <t>ثوم مليوخية</t>
  </si>
  <si>
    <t>ديب ان منظف مليامين</t>
  </si>
  <si>
    <t>زبادي جهينة 180 جرام</t>
  </si>
  <si>
    <t>ايس كريم زبادي 5 كيلوجرام</t>
  </si>
  <si>
    <t>ارز بسمتي نهرين 40 كيلوجرام</t>
  </si>
  <si>
    <t>ارز بسمتي حلا 20 كيلوجرام</t>
  </si>
  <si>
    <t>باربكيو 5 كيلوجرام</t>
  </si>
  <si>
    <t>مناديل بكر حمام</t>
  </si>
  <si>
    <t>مناديل معطر</t>
  </si>
  <si>
    <t>ورق زبدة</t>
  </si>
  <si>
    <t>غطاء علبه ميل كونتينر وسط</t>
  </si>
  <si>
    <t>جردل موب</t>
  </si>
  <si>
    <t>شنطة صغيره 26 - 32*40</t>
  </si>
  <si>
    <t>علبة 40 اونز</t>
  </si>
  <si>
    <t>علبة 8 اونز</t>
  </si>
  <si>
    <t>علبة توابل</t>
  </si>
  <si>
    <t>علبة تيك اواي ورق</t>
  </si>
  <si>
    <t>علبة ثلاجه</t>
  </si>
  <si>
    <t>علبة سلطه 4 اونز</t>
  </si>
  <si>
    <t>علبة واجبات 3 نوع</t>
  </si>
  <si>
    <t>ملاحه صيني</t>
  </si>
  <si>
    <t>طبق كيرنو 2 عين</t>
  </si>
  <si>
    <t>سكينه مقاس 10 بوصه</t>
  </si>
  <si>
    <t>سكينه مقاس 8 بوصه</t>
  </si>
  <si>
    <t>سكينه 24 سم</t>
  </si>
  <si>
    <t>كسرولة 20 سم</t>
  </si>
  <si>
    <t>بلوفر بوكلت متر بلوفر</t>
  </si>
  <si>
    <t>جاليه</t>
  </si>
  <si>
    <t>روشيه كيك صغير</t>
  </si>
  <si>
    <t>فلوتس كيك صغير</t>
  </si>
  <si>
    <t>36 - ملابس يونيفورم</t>
  </si>
  <si>
    <t>رقم</t>
  </si>
  <si>
    <t>كود</t>
  </si>
  <si>
    <t>اسم الصنف</t>
  </si>
  <si>
    <t>الوصف</t>
  </si>
  <si>
    <t>المخزن</t>
  </si>
  <si>
    <t>وحده القياس</t>
  </si>
  <si>
    <t>تقسيم الوحده</t>
  </si>
  <si>
    <t>وحده المكونات</t>
  </si>
  <si>
    <t>متوسط السعر</t>
  </si>
  <si>
    <t>توابل الشرق الاقصي</t>
  </si>
  <si>
    <t>اذن اضافه</t>
  </si>
  <si>
    <t>34 - مواد النظافة</t>
  </si>
  <si>
    <t>12 - الدواجن</t>
  </si>
  <si>
    <t>13 - البقالة</t>
  </si>
  <si>
    <t>33 - التعبئة و التغليف</t>
  </si>
  <si>
    <t>16 - السلطات</t>
  </si>
  <si>
    <t>18 - التوابل</t>
  </si>
  <si>
    <t>37 - ثلج للشواية</t>
  </si>
  <si>
    <t>15 - الزيوت</t>
  </si>
  <si>
    <t>53 - غاز</t>
  </si>
  <si>
    <t>54 - محروقات و فحم</t>
  </si>
  <si>
    <t>11 - اللحوم</t>
  </si>
  <si>
    <t>31 - ادوات مكتبية</t>
  </si>
  <si>
    <t>38 - مستلزمات تشغيل</t>
  </si>
  <si>
    <t>21 - المشروبات</t>
  </si>
  <si>
    <t>32 - مطبوعات</t>
  </si>
  <si>
    <t>19 - المكرونات و الرز</t>
  </si>
  <si>
    <t>جرام</t>
  </si>
  <si>
    <t>ايس كريم اوريو - جولد استون 5 كيلوجرام</t>
  </si>
  <si>
    <t>جالون 3 كيلوجرام</t>
  </si>
  <si>
    <t>جالون 5 كيلوجرام</t>
  </si>
  <si>
    <t>ايس كريم فستق - جولد استون 5 كيلوجرام</t>
  </si>
  <si>
    <t>ايس كريم كاساتا - 3 كيلوجرام</t>
  </si>
  <si>
    <t>ايس كريم توت ازرق - 3 كيلوجرام</t>
  </si>
  <si>
    <t>ايس كريم بلح - 3 كيلوجرام</t>
  </si>
  <si>
    <t>كيلوجرام</t>
  </si>
  <si>
    <t>جردل 3.290 كيلوجرام</t>
  </si>
  <si>
    <t>طحينه*18كيلوجرام</t>
  </si>
  <si>
    <t>جردل 18 كيلوجرام</t>
  </si>
  <si>
    <t>شوال 25 كيلوجرام</t>
  </si>
  <si>
    <t>شوال 20 كيلوجرام</t>
  </si>
  <si>
    <t>شوال 40 كيلوجرام</t>
  </si>
  <si>
    <t>صنيه نحاس صغير</t>
  </si>
  <si>
    <t>طبق شفاف 1 كيلوجرام</t>
  </si>
  <si>
    <t>طبق شفاف 2 كيلوجرام</t>
  </si>
  <si>
    <t>81 - دعاية و اعلان</t>
  </si>
  <si>
    <t>طاسه 24 سم</t>
  </si>
  <si>
    <t>طاسه 28 سم</t>
  </si>
  <si>
    <t>طاسه تيفال 20 سم</t>
  </si>
  <si>
    <t>طاسه تيفال 22 سم</t>
  </si>
  <si>
    <t>طاسه تيفال 26 سم</t>
  </si>
  <si>
    <t>كسرولة مقاس 18 سم</t>
  </si>
  <si>
    <t>مقلايه استانلس مقاس 20 سم</t>
  </si>
  <si>
    <t>مقلايه استانلس مقاس 24 سم</t>
  </si>
  <si>
    <t>مقلايه استانلس مقاس 26 سم</t>
  </si>
  <si>
    <t>مقلايه استانلس مقاس 28 سم</t>
  </si>
  <si>
    <t>غطاء سفنديش 1/2</t>
  </si>
  <si>
    <t>طبق شفاف 1/2 كيلوجرام</t>
  </si>
  <si>
    <t>سفنديش 1/2 عمق 10 سم</t>
  </si>
  <si>
    <t>سفنديش 1/2 عمق 15 سم</t>
  </si>
  <si>
    <t>تي شيرت باركن كحلي 1/2 كم</t>
  </si>
  <si>
    <t>تي شيرت دليفرى اسود 1/2 كم</t>
  </si>
  <si>
    <t>تي شيرت رصاصي 1/2 كم</t>
  </si>
  <si>
    <t>تي شيرت كحلي امن 1/2 كم</t>
  </si>
  <si>
    <t>مضرب استانلس مقاس 5</t>
  </si>
  <si>
    <t>صنيه تيفال 26 سم</t>
  </si>
  <si>
    <t>صنيه بيتزا مقاس 22 سم</t>
  </si>
  <si>
    <t>صاج جلاش صغير 24*38 سم</t>
  </si>
  <si>
    <t>ارقام طاولات من5</t>
  </si>
  <si>
    <t>سفنديش عمق 15 سم</t>
  </si>
  <si>
    <t>سفنديش عمق 20 سم</t>
  </si>
  <si>
    <t>سرفيس بيضاوي مقاس 8 سم</t>
  </si>
  <si>
    <t>سرفيس بيضاوي مقاس 7 سم</t>
  </si>
  <si>
    <t>ستوار 50*70 سم</t>
  </si>
  <si>
    <t>ستوار 40*60 سم</t>
  </si>
  <si>
    <t>حله استانلس مقاس 40 سم</t>
  </si>
  <si>
    <t>حله استانلس مقاس 70*70 سم</t>
  </si>
  <si>
    <t>حله 24 سم</t>
  </si>
  <si>
    <t>حله 28 سم</t>
  </si>
  <si>
    <t>حله 36 سم</t>
  </si>
  <si>
    <t>حله 40 سم</t>
  </si>
  <si>
    <t>حله 50 سم</t>
  </si>
  <si>
    <t>اذان استانلس 75*70 سم</t>
  </si>
  <si>
    <t>اذان استانلس 35 سم سم</t>
  </si>
  <si>
    <t>طبق مليمين 29*29 سم</t>
  </si>
  <si>
    <t>طبق فويل3587*200 سم</t>
  </si>
  <si>
    <t>طبق فويل 824*600 سم</t>
  </si>
  <si>
    <t>طبق فويل 7586*100 سم</t>
  </si>
  <si>
    <t>طبق فويل 6130*25 سم</t>
  </si>
  <si>
    <t>طبق فويل 1980*300 سم</t>
  </si>
  <si>
    <t>طبق فويل 1035*600 سم</t>
  </si>
  <si>
    <t>قطعة</t>
  </si>
  <si>
    <t>مليلتر</t>
  </si>
  <si>
    <t>زجاجة كاتشب 480 جرام</t>
  </si>
  <si>
    <t>علبه 800 جرام</t>
  </si>
  <si>
    <t>زجاجه 480 جرام</t>
  </si>
  <si>
    <t>كرتونه * 1000 ظرف</t>
  </si>
  <si>
    <t>ارز بسمتي 25 كيلوجرام</t>
  </si>
  <si>
    <t>مناديل رول جامبو * 6</t>
  </si>
  <si>
    <t>لتر</t>
  </si>
  <si>
    <t>ارقام طاولات من 200 - 240</t>
  </si>
  <si>
    <t>طبق كيرنو عميق 2 كيلوجرام</t>
  </si>
  <si>
    <t>طبق مليمين 19 سم</t>
  </si>
  <si>
    <t>كسرولة 24 سم</t>
  </si>
  <si>
    <t>علبه 400 جرام</t>
  </si>
  <si>
    <t>سكر دايت باكت * 50 كيس</t>
  </si>
  <si>
    <t>صوص شوكلت مونين * 1.890 دراك</t>
  </si>
  <si>
    <t>كيس 1 لتر</t>
  </si>
  <si>
    <t>علبه 1 لتر</t>
  </si>
  <si>
    <t>لسان عصفور 1000 جرام</t>
  </si>
  <si>
    <t>كيس 1000 جرام</t>
  </si>
  <si>
    <t>كيس 400 جرام</t>
  </si>
  <si>
    <t>كانز 300 ملي</t>
  </si>
  <si>
    <t>زجاجه 600 ملي</t>
  </si>
  <si>
    <t>زجاجه 350 ملي</t>
  </si>
  <si>
    <t>سلك استانلس</t>
  </si>
  <si>
    <t>مناديل جست</t>
  </si>
  <si>
    <t>كيلو</t>
  </si>
  <si>
    <t>رول فويل</t>
  </si>
  <si>
    <t>صنيه نحاس 50 سم</t>
  </si>
  <si>
    <t>صنيه نحاس 70 سم</t>
  </si>
  <si>
    <t>سكينه 06 بوصه</t>
  </si>
  <si>
    <t>سكينه 08 بوصه</t>
  </si>
  <si>
    <t>سفنديش 10 سم</t>
  </si>
  <si>
    <t>ارقام طاولات من 5</t>
  </si>
  <si>
    <t>زجاجه 1 لتر</t>
  </si>
  <si>
    <t>مناديل سحب ( سي فولد )</t>
  </si>
  <si>
    <t>جركن 5 كيلوجرام</t>
  </si>
  <si>
    <t>علبه 180 جرام</t>
  </si>
  <si>
    <t>رده</t>
  </si>
  <si>
    <t>كاتشب ظرف</t>
  </si>
  <si>
    <t>مايونيز جردل 3.290 كيلوجرام</t>
  </si>
  <si>
    <t>مايونيزجردل 3.290 كيلوجرام</t>
  </si>
  <si>
    <t>صوص شوكلت مونين زجاجه 1890 جرام</t>
  </si>
  <si>
    <t>صوص كراميل G S F</t>
  </si>
  <si>
    <t>زجاجه 235 جرام</t>
  </si>
  <si>
    <t>باكت * 50 كيس</t>
  </si>
  <si>
    <t>لسان عصفور ال مليكة 400 جرام</t>
  </si>
  <si>
    <t>مكرونة سباجتي ايطاليانو 1000 جرام</t>
  </si>
  <si>
    <t>مكرونة سباجتي ايطاليانو 400 جرام</t>
  </si>
  <si>
    <t>مكرونة فرن ايطاليانو 1000 جرام</t>
  </si>
  <si>
    <t>مكرونة فرن ايطاليانو 400 جرام</t>
  </si>
  <si>
    <t>مكرونة مرمرية ايطاليانو 400 جرام</t>
  </si>
  <si>
    <t>مكرونة نجرسكو - شرائط 1000 جرام</t>
  </si>
  <si>
    <t>مكرونة نجرسكو ايطاليانو 400 جرام</t>
  </si>
  <si>
    <t>اذان استانلس 35 سم</t>
  </si>
  <si>
    <t>حله استانلس 40 سم</t>
  </si>
  <si>
    <t>حله استانلس 70*70 سم</t>
  </si>
  <si>
    <t>سرفيس بيضاوي 7 سم</t>
  </si>
  <si>
    <t>سرفيس بيضاوي 8 سم</t>
  </si>
  <si>
    <t>سكينه 10 بوصه</t>
  </si>
  <si>
    <t>صنيه بيتزا 22 سم</t>
  </si>
  <si>
    <t>كسرولة 16 سم</t>
  </si>
  <si>
    <t>كسرولة 18 سم</t>
  </si>
  <si>
    <t>لوش 14 سم</t>
  </si>
  <si>
    <t>مضرب استانلس 5</t>
  </si>
  <si>
    <t>مقلايه استانلس 20 سم</t>
  </si>
  <si>
    <t>مقلايه استانلس 24 سم</t>
  </si>
  <si>
    <t>مقلايه استانلس 26 سم</t>
  </si>
  <si>
    <t>مقلايه استانلس 28 سم</t>
  </si>
  <si>
    <t>مقلايه 18 سم</t>
  </si>
  <si>
    <t>مقلايه 32 سم</t>
  </si>
  <si>
    <t>طحينه جردل 18 كيلوجرام</t>
  </si>
  <si>
    <t>ايس كريم الجيلاتو موندو - اوريو - 3 كيلوجرام</t>
  </si>
  <si>
    <t>ايس كريم الجيلاتو موندو - بندف - 3 كيلوجرام</t>
  </si>
  <si>
    <t>ايس كريم الجيلاتو موندو - تشيز كيك - 3 كيلوجرام</t>
  </si>
  <si>
    <t>ايس كريم الجيلاتو موندو - جوز الهند - 3 كيلوجرام</t>
  </si>
  <si>
    <t>ايس كريم الجيلاتو موندو - زبادي - 3 كيلوجرام</t>
  </si>
  <si>
    <t>ايس كريم الجيلاتو موندو - شوكلت - 3 كيلوجرام</t>
  </si>
  <si>
    <t>ايس كريم الجيلاتو موندو - فانيليا - 3 كيلوجرام</t>
  </si>
  <si>
    <t>ايس كريم الجيلاتو موندو - فراولة - 3 كيلوجرام</t>
  </si>
  <si>
    <t>ايس كريم الجيلاتو موندو - فستق - 3 كيلوجرام</t>
  </si>
  <si>
    <t>ايس كريم الجيلاتو موندو - كراميل - 3 كيلوجرام</t>
  </si>
  <si>
    <t>ايس كريم الجيلاتو موندو - كنتالوب - 3 كيلوجرام</t>
  </si>
  <si>
    <t>ايس كريم الجيلاتو موندو - مانجو - 3 كيلوجرام</t>
  </si>
  <si>
    <t>ايس كريم الجيلاتو موندو - نسكافيه - 3 كيلوجرام</t>
  </si>
  <si>
    <t>ايس كريم جولد استون - اوريو - 5 كيلوجرام</t>
  </si>
  <si>
    <t>ايس كريم جولد استون - بسكويت - 5 كيلوجرام</t>
  </si>
  <si>
    <t>ايس كريم جولد استون - توت - 5 كيلوجرام</t>
  </si>
  <si>
    <t>ايس كريم جولد استون - شكولاتة - 5 كيلوجرام</t>
  </si>
  <si>
    <t>ايس كريم جولد استون - فانيليا - 5 كيلوجرام</t>
  </si>
  <si>
    <t>ايس كريم جولد استون - فراولة - 5 كيلوجرام</t>
  </si>
  <si>
    <t>ايس كريم جولد استون - فستق - 5 كيلوجرام</t>
  </si>
  <si>
    <t>ايس كريم جولد استون - كراميل - 5 كيلوجرام</t>
  </si>
  <si>
    <t>ايس كريم جولد استون - ليمون - 5 كيلوجرام</t>
  </si>
  <si>
    <t>ايس كريم جولد استون - مانجو - 5 كيلوجرام</t>
  </si>
  <si>
    <t>ايس كريم جولد استون - مستكة - 5 كيلوجرام</t>
  </si>
  <si>
    <t>ايس كريم جولد استون - موكا - 5 كيلوجرام</t>
  </si>
  <si>
    <t>ايس كريم جولد استون - قهوه - 5 كيلوجرام</t>
  </si>
  <si>
    <t>تصنيف فرعي (2)</t>
  </si>
  <si>
    <t>تصنيف فرعي (1)</t>
  </si>
  <si>
    <t>جركن 10 لتر</t>
  </si>
  <si>
    <t>باكت 100 قطعة</t>
  </si>
  <si>
    <t>كلاوى بقري جاهزة</t>
  </si>
  <si>
    <t>مخاصى بقري جاهزة</t>
  </si>
  <si>
    <t>فراخ كامليه</t>
  </si>
  <si>
    <t>14 - الخضروات و الفاكهة</t>
  </si>
  <si>
    <t>كريمة ويب ( كريمة خفق )</t>
  </si>
  <si>
    <t>كريمة ويب بلاس</t>
  </si>
  <si>
    <t>شعريه ال مليكة 400 جرام</t>
  </si>
  <si>
    <t>مكرونة ايطاليانو نجرسكو 400 جرام</t>
  </si>
  <si>
    <t>مكرونة ايطاليانو مرمرية 400 جرام</t>
  </si>
  <si>
    <t>مكرونة ايطاليانو فرن 400 جرام</t>
  </si>
  <si>
    <t>مكرونة ايطاليانو فرن 1000 جرام</t>
  </si>
  <si>
    <t>مكرونة ايطاليانو سباجتي 400 جرام</t>
  </si>
  <si>
    <t>مكرونة ايطاليانو سباجتي 1000 جرام</t>
  </si>
  <si>
    <t>مكرونة ايطاليانو مرمرية 1000 جرام</t>
  </si>
  <si>
    <t>مكرونة ايطاليانو نجرسكو 1000 جرام</t>
  </si>
  <si>
    <t>لسان عصفور ال مليكة 1000 جرام</t>
  </si>
  <si>
    <t>كولا كانز 300 ملي</t>
  </si>
  <si>
    <t>اكياس قمامه صغيره</t>
  </si>
  <si>
    <t>اكياس قمامه كبيره</t>
  </si>
  <si>
    <t>طاجن محشي باللحمة فخار</t>
  </si>
  <si>
    <t>موزه بتلو الاوردر من 5ّ ل 6 قطع</t>
  </si>
  <si>
    <t>سجق بقري جاهز للجرل</t>
  </si>
  <si>
    <t>سجق بقري للطاسه</t>
  </si>
  <si>
    <t>جدي من 9 ل 13 كيلو</t>
  </si>
  <si>
    <t>خروف حسب الطلب</t>
  </si>
  <si>
    <t>سجق ضاني للشوي</t>
  </si>
  <si>
    <t>كبده ضاني جاهزة للشوايه</t>
  </si>
  <si>
    <t>كلاوي ضاني للشوايه</t>
  </si>
  <si>
    <t>كلاوي ضاني جاهزة للشغل - طاسه</t>
  </si>
  <si>
    <t>مخاصي ضاني للشوي</t>
  </si>
  <si>
    <t>مخاصي ضاني جاهزة للطاسه</t>
  </si>
  <si>
    <t>ارانب من كيلو الي كيلو و ربع</t>
  </si>
  <si>
    <t>بط من 2 كيلو الي 2.25</t>
  </si>
  <si>
    <t>فراخ بلدي دهبيه</t>
  </si>
  <si>
    <t>صويا صوص لتر</t>
  </si>
  <si>
    <t>زجاجه 165 جرام</t>
  </si>
  <si>
    <t>كنافه ساده</t>
  </si>
  <si>
    <t>كنافه نوتيلا</t>
  </si>
  <si>
    <t>كنافه قشطه</t>
  </si>
  <si>
    <t>شوال 50 كيلوجرام</t>
  </si>
  <si>
    <t>دقيق شوال 50 كيلوجرام</t>
  </si>
  <si>
    <t>صوص شوكلت دارك G S F</t>
  </si>
  <si>
    <t>علبه 50 فتله</t>
  </si>
  <si>
    <t>بن اسبريسو</t>
  </si>
  <si>
    <t>بن تركي اصطاف النجار</t>
  </si>
  <si>
    <t>بن ساده غامق عبد المعبود</t>
  </si>
  <si>
    <t>بن ساده فاتح عبد المعبود</t>
  </si>
  <si>
    <t>بن محوج غامق عبد المعبود</t>
  </si>
  <si>
    <t>بن محوج فاتح عبد المعبود</t>
  </si>
  <si>
    <t>بندق مقشر للبار</t>
  </si>
  <si>
    <t>كيس 2.5 كيلوجرام</t>
  </si>
  <si>
    <t>لبن نيدو بودره</t>
  </si>
  <si>
    <t>رول</t>
  </si>
  <si>
    <t>ايس كريم جولد استون - زبادي - 5 كيلوجرام</t>
  </si>
  <si>
    <t>ايس كريم الجيلاتو موندو - كاساتا - 3 كيلوجرام</t>
  </si>
  <si>
    <t>ايس كريم الجيلاتو موندو - توت ازرق - 3 كيلوجرام</t>
  </si>
  <si>
    <t>ايس كريم الجيلاتو موندو - بلح - 3 كيلوجرام</t>
  </si>
  <si>
    <t>35 - العدد و الأدوات</t>
  </si>
  <si>
    <t>41 - صيانة وإصلاح</t>
  </si>
  <si>
    <t>91 - أثاث و أصول ثابتة</t>
  </si>
  <si>
    <t>علبه 1.5 لتر</t>
  </si>
  <si>
    <t>17 - منتجات الألبان</t>
  </si>
  <si>
    <t>كيس 50 قطعة</t>
  </si>
  <si>
    <t>قشطه ( سحور )</t>
  </si>
  <si>
    <t>جبنه بيضا بالطماطم ( سحور )</t>
  </si>
  <si>
    <t>جبنه فيتا ( سحور )</t>
  </si>
  <si>
    <t>جبنه قريش ( سحور )</t>
  </si>
  <si>
    <t>منيو فود ( سحور )</t>
  </si>
  <si>
    <t>سكر دايت</t>
  </si>
  <si>
    <t>شنطة صغيره 26 - 32*40 سم</t>
  </si>
  <si>
    <t>شنطة كبيره 45*60 سم</t>
  </si>
  <si>
    <t>شنطة وسط 38*40 سم</t>
  </si>
  <si>
    <t>غطاء سفنديش1/3</t>
  </si>
  <si>
    <t>علبه 9 قطعة</t>
  </si>
  <si>
    <t>طبق 5 قطعة</t>
  </si>
  <si>
    <t>فتله</t>
  </si>
  <si>
    <t>طبق 30 قطعة</t>
  </si>
  <si>
    <t>ظرف</t>
  </si>
  <si>
    <t>كرتونه 24 قطعة</t>
  </si>
  <si>
    <t>كوسه مقطعة</t>
  </si>
  <si>
    <t>قطعة فرشة بلاط</t>
  </si>
  <si>
    <t>ورقه لحمه 500 جرام</t>
  </si>
  <si>
    <t>قطعة 500 جرام</t>
  </si>
  <si>
    <t>ديك رومي وزن و حجز علي حسب اختيار العميل</t>
  </si>
  <si>
    <t>كنافه جبنه</t>
  </si>
  <si>
    <t>قشطه نباتي</t>
  </si>
  <si>
    <t>كوارع بقري</t>
  </si>
  <si>
    <t>طرب جاهز ملفوف</t>
  </si>
  <si>
    <t>كوارع جاموسي</t>
  </si>
  <si>
    <t>مدابح مبكبكة</t>
  </si>
  <si>
    <t>مخاصى ضاني</t>
  </si>
  <si>
    <t>مخاصى ضاني جاهزة</t>
  </si>
  <si>
    <t>كركدية باكت</t>
  </si>
  <si>
    <t>بامية</t>
  </si>
  <si>
    <t>ملوخية</t>
  </si>
  <si>
    <t>ثوم ملوخية</t>
  </si>
  <si>
    <t>توابل الشرق الأقصى</t>
  </si>
  <si>
    <t>لفه 500 جرام</t>
  </si>
  <si>
    <t>زجاجه 500 جرام</t>
  </si>
  <si>
    <t>برطمان 190 جرام</t>
  </si>
  <si>
    <t>زجاجه 750 ملي</t>
  </si>
  <si>
    <t>علبه 1 كيلوجرام</t>
  </si>
  <si>
    <t>برطمان 1 كيلوجرام</t>
  </si>
  <si>
    <t>صفيحه 11 كيلوجرام</t>
  </si>
  <si>
    <t>كيس 170 جرام</t>
  </si>
  <si>
    <t>كيس 20 جرام</t>
  </si>
  <si>
    <t>كيس 200 جرام</t>
  </si>
  <si>
    <t>كيس 625 جرام</t>
  </si>
  <si>
    <t>علبه 700 جرام</t>
  </si>
  <si>
    <t>بقسماط ناعم - ريتش باك</t>
  </si>
  <si>
    <t>توبنج اناناس</t>
  </si>
  <si>
    <t>توبنج باشون فروت</t>
  </si>
  <si>
    <t>توبنج بطيخ</t>
  </si>
  <si>
    <t>توبنج تفاح</t>
  </si>
  <si>
    <t>توبنج توت ازرق</t>
  </si>
  <si>
    <t>توبنج جوز الهند</t>
  </si>
  <si>
    <t>توبنج شربات الخوخ</t>
  </si>
  <si>
    <t>توبنج فرواله</t>
  </si>
  <si>
    <t>توبنج كراميل صوص</t>
  </si>
  <si>
    <t>توبنج كريز</t>
  </si>
  <si>
    <t>توبنج كيوي</t>
  </si>
  <si>
    <t>توبنج مانجو</t>
  </si>
  <si>
    <t>توبنج موز</t>
  </si>
  <si>
    <t>توبنج ماسك</t>
  </si>
  <si>
    <t>فليفر ايريش مركز</t>
  </si>
  <si>
    <t>فليفر بطيخ</t>
  </si>
  <si>
    <t>فليفر بلو كرسو</t>
  </si>
  <si>
    <t>فليفر بندق</t>
  </si>
  <si>
    <t>فليفر تفاح اخضر</t>
  </si>
  <si>
    <t>فليفر رومان</t>
  </si>
  <si>
    <t>فليفر شيري توت العنبية</t>
  </si>
  <si>
    <t>فليفر فانيليا</t>
  </si>
  <si>
    <t>فليفر فشار</t>
  </si>
  <si>
    <t>فليفر كراميل</t>
  </si>
  <si>
    <t>فليفر كريز</t>
  </si>
  <si>
    <t>فليفر ليمون مركز</t>
  </si>
  <si>
    <t>فليفر نعناع اخضر</t>
  </si>
  <si>
    <t>تصنيف فرعي (0)</t>
  </si>
  <si>
    <t>1101 - لحوم</t>
  </si>
  <si>
    <t>1102 - لحوم بقري</t>
  </si>
  <si>
    <t>1104 - لحوم بتلو</t>
  </si>
  <si>
    <t>1104 - لحوم ضاني</t>
  </si>
  <si>
    <t>1201 - فراخ</t>
  </si>
  <si>
    <t>1202 - حمام</t>
  </si>
  <si>
    <t>1203 - بط</t>
  </si>
  <si>
    <t>1204 - ارانب</t>
  </si>
  <si>
    <t>1301 - بقالة</t>
  </si>
  <si>
    <t>1302 - بقوليات</t>
  </si>
  <si>
    <t>1304 - بيض</t>
  </si>
  <si>
    <t>1305 - توبنج</t>
  </si>
  <si>
    <t>1306 - حلو</t>
  </si>
  <si>
    <t>1307 - دقيق</t>
  </si>
  <si>
    <t>1308 - سكر</t>
  </si>
  <si>
    <t>1309 - شاي و قهوه</t>
  </si>
  <si>
    <t>1310 - صوص</t>
  </si>
  <si>
    <t>1311 - عصير</t>
  </si>
  <si>
    <t>1312 - عيش</t>
  </si>
  <si>
    <t>1313 - فليفر</t>
  </si>
  <si>
    <t>1314 - قشطه</t>
  </si>
  <si>
    <t>1315 - مربه</t>
  </si>
  <si>
    <t>1316 - مكسرات</t>
  </si>
  <si>
    <t>1401 - خضروات</t>
  </si>
  <si>
    <t>1402 - فاكهة</t>
  </si>
  <si>
    <t>1403 - مخلل</t>
  </si>
  <si>
    <t>1501 - زيت</t>
  </si>
  <si>
    <t>1502 - سمنه</t>
  </si>
  <si>
    <t>1601 - تتبيله</t>
  </si>
  <si>
    <t>1602 - سلطات</t>
  </si>
  <si>
    <t>1603 - صوص</t>
  </si>
  <si>
    <t>1701 - لبن</t>
  </si>
  <si>
    <t>1702 - جبنه</t>
  </si>
  <si>
    <t>1703 - زبادي</t>
  </si>
  <si>
    <t>1704 - كريمة</t>
  </si>
  <si>
    <t>1705 - ايس كريم</t>
  </si>
  <si>
    <t>1801 - توابل</t>
  </si>
  <si>
    <t>1802 - ملح</t>
  </si>
  <si>
    <t>1901 - ارز</t>
  </si>
  <si>
    <t>1902 - مكرونة</t>
  </si>
  <si>
    <t>2101 - مياه</t>
  </si>
  <si>
    <t>2102 - مشروبات غازيه</t>
  </si>
  <si>
    <t>2103 - مشروبات طاقه</t>
  </si>
  <si>
    <t>3101 - ادوات مكتبية</t>
  </si>
  <si>
    <t>3201 - مطبوعات</t>
  </si>
  <si>
    <t>3202 - منيو</t>
  </si>
  <si>
    <t>3301 - التعبئة و التغليف</t>
  </si>
  <si>
    <t>3401 - ادوات النظافة</t>
  </si>
  <si>
    <t>3403 - مناديل</t>
  </si>
  <si>
    <t>3402 - مواد النظافة</t>
  </si>
  <si>
    <t>3501 - ادوات مائده</t>
  </si>
  <si>
    <t>3502 - ادوات مطبخ</t>
  </si>
  <si>
    <t>3601 - يونيفورم</t>
  </si>
  <si>
    <t>3701 - تلج</t>
  </si>
  <si>
    <t>3801 - مستلزمات</t>
  </si>
  <si>
    <t>3802 - مستلزمات بار</t>
  </si>
  <si>
    <t>4101 - صيانة</t>
  </si>
  <si>
    <t>4102 - صيانة سباكة</t>
  </si>
  <si>
    <t>4103 - قطع غيار</t>
  </si>
  <si>
    <t>5301 - غاز</t>
  </si>
  <si>
    <t>5401 - فحم</t>
  </si>
  <si>
    <t>8101 - دعاية و اعلان</t>
  </si>
  <si>
    <t>9101 - أثاث</t>
  </si>
  <si>
    <t>9103 - معدات</t>
  </si>
  <si>
    <t>9102 - أجهزة كمبيوتر و طابعات</t>
  </si>
  <si>
    <t>1103 - لحوم بتلو</t>
  </si>
  <si>
    <t>دقيق شوال</t>
  </si>
  <si>
    <t>لحمه مبكبكة</t>
  </si>
  <si>
    <t>فليفر نعناع موخيتو</t>
  </si>
  <si>
    <t>ديب ان منظف ميلامين</t>
  </si>
  <si>
    <t>اندر لاين ميلامين بوله شوربة</t>
  </si>
  <si>
    <t>بلانشا بلاستيك</t>
  </si>
  <si>
    <t>بلانشا خشب</t>
  </si>
  <si>
    <t>بوله ميلامين 17 سم</t>
  </si>
  <si>
    <t>سكينه جارنش</t>
  </si>
  <si>
    <t>شيكر بار</t>
  </si>
  <si>
    <t>كنكه قهوه</t>
  </si>
  <si>
    <t>جوانتى بلاستك</t>
  </si>
  <si>
    <t>جوانتى اسود</t>
  </si>
  <si>
    <t>جوانتى استيوارد</t>
  </si>
  <si>
    <t>1 - الأغذية</t>
  </si>
  <si>
    <t>2 - المشروبات</t>
  </si>
  <si>
    <t>3 - مستلزمات</t>
  </si>
  <si>
    <t>4 - صيانة وإصلاح</t>
  </si>
  <si>
    <t>5 - محروقات و كهرباء</t>
  </si>
  <si>
    <t>8 - دعاية و اعلان</t>
  </si>
  <si>
    <t>9 - أثاث و أصول ثابتة</t>
  </si>
  <si>
    <t>تصنيف فرعي(1) ID</t>
  </si>
  <si>
    <t>تصنيف فرعي (2) ID</t>
  </si>
  <si>
    <t>unit id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</si>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</sst>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5" formatCode="&quot;$&quot;#,##0_);\(&quot;$&quot;#,##0\)"/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</numFmts>
  <fonts count="13" x14ac:knownFonts="1">
    <font>
      <sz val="10"/>
      <name val="Arial"/>
    </font>
    <font>
      <sz val="10"/>
      <name val="Arial"/>
      <family val="2"/>
    </font>
    <font>
      <sz val="10"/>
      <color theme="1" tint="0.14996795556505021"/>
      <name val="Arial"/>
      <family val="2"/>
      <scheme val="minor"/>
    </font>
    <font>
      <sz val="11"/>
      <color theme="4"/>
      <name val="Times New Roman"/>
      <family val="2"/>
      <scheme val="major"/>
    </font>
    <font>
      <sz val="11"/>
      <color theme="0"/>
      <name val="Times New Roman"/>
      <family val="2"/>
      <scheme val="major"/>
    </font>
    <font>
      <b/>
      <sz val="26"/>
      <color theme="4"/>
      <name val="Times New Roman"/>
      <family val="2"/>
      <scheme val="major"/>
    </font>
    <font>
      <sz val="11"/>
      <color theme="3"/>
      <name val="Times New Roman"/>
      <family val="2"/>
      <scheme val="major"/>
    </font>
    <font>
      <b/>
      <sz val="9"/>
      <color theme="0"/>
      <name val="Arial"/>
      <family val="2"/>
      <scheme val="minor"/>
    </font>
    <font>
      <sz val="20"/>
      <color theme="0" tint="-0.34998626667073579"/>
      <name val="Arial"/>
      <family val="2"/>
      <scheme val="minor"/>
    </font>
    <font>
      <sz val="12"/>
      <color theme="0" tint="-0.34998626667073579"/>
      <name val="Arial"/>
      <family val="2"/>
      <scheme val="minor"/>
    </font>
    <font>
      <sz val="8"/>
      <name val="Arial"/>
    </font>
    <font>
      <sz val="10"/>
      <name val="Tahoma"/>
      <family val="2"/>
    </font>
    <font>
      <sz val="10"/>
      <name val="Tahoma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79998168889431442"/>
      </bottom>
      <diagonal/>
    </border>
    <border>
      <left/>
      <right/>
      <top/>
      <bottom style="dashed">
        <color theme="1" tint="0.34998626667073579"/>
      </bottom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4" borderId="1" applyNumberFormat="0" applyProtection="0">
      <alignment vertical="center"/>
    </xf>
    <xf numFmtId="0" fontId="3" fillId="2" borderId="2" applyNumberFormat="0" applyProtection="0">
      <alignment vertical="center"/>
    </xf>
    <xf numFmtId="0" fontId="7" fillId="3" borderId="0">
      <alignment horizontal="center" vertical="center"/>
    </xf>
    <xf numFmtId="5" fontId="8" fillId="0" borderId="3">
      <alignment horizontal="center" vertical="center"/>
    </xf>
    <xf numFmtId="9" fontId="9" fillId="0" borderId="0">
      <alignment horizontal="left" vertical="center" indent="1"/>
    </xf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10" fontId="11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11" fillId="0" borderId="0" xfId="0" applyFont="1"/>
    <xf numFmtId="0" fontId="12" fillId="0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</xf>
  </cellXfs>
  <cellStyles count="15">
    <cellStyle name="Comma" xfId="4"/>
    <cellStyle name="Comma [0]" xfId="5"/>
    <cellStyle name="Currency" xfId="2"/>
    <cellStyle name="Currency [0]" xfId="3"/>
    <cellStyle name="Heading 1 2" xfId="8"/>
    <cellStyle name="Heading 2 2" xfId="9"/>
    <cellStyle name="Heading 3 2" xfId="10"/>
    <cellStyle name="Key Metric Header" xfId="11"/>
    <cellStyle name="Key Metric Percentage" xfId="13"/>
    <cellStyle name="Key Metric Value" xfId="12"/>
    <cellStyle name="Normal" xfId="0" builtinId="0"/>
    <cellStyle name="Normal 2" xfId="6"/>
    <cellStyle name="Percent" xfId="1"/>
    <cellStyle name="Percent 2" xfId="14"/>
    <cellStyle name="Title 2" xfId="7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scheme val="none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border>
        <top style="double">
          <color theme="1"/>
        </top>
      </border>
    </dxf>
    <dxf>
      <font>
        <b val="0"/>
        <i val="0"/>
        <color theme="0"/>
      </font>
      <fill>
        <patternFill patternType="solid">
          <fgColor theme="1"/>
          <bgColor theme="1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15 2" defaultPivotStyle="PivotStyleLight16">
    <tableStyle name="TableStyleMedium15 2" pivot="0" count="7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الصنف" displayName="الصنف" ref="B2:P743" totalsRowShown="0" headerRowDxfId="31" dataDxfId="30">
  <autoFilter ref="B2:P743"/>
  <tableColumns count="15">
    <tableColumn id="1" name="رقم" dataDxfId="29"/>
    <tableColumn id="2" name="كود" dataDxfId="28"/>
    <tableColumn id="3" name="اسم الصنف" dataDxfId="27"/>
    <tableColumn id="23" name="الوصف" dataDxfId="26"/>
    <tableColumn id="24" name="المخزن" dataDxfId="25"/>
    <tableColumn id="11" name="تصنيف فرعي (2) ID" dataDxfId="24">
      <calculatedColumnFormula>LEFT(الصنف[[#This Row],[تصنيف فرعي (2)]],4)</calculatedColumnFormula>
    </tableColumn>
    <tableColumn id="4" name="تصنيف فرعي (2)" dataDxfId="23"/>
    <tableColumn id="10" name="تصنيف فرعي(1) ID" dataDxfId="22">
      <calculatedColumnFormula>LEFT(الصنف[[#This Row],[تصنيف فرعي (1)]],2)</calculatedColumnFormula>
    </tableColumn>
    <tableColumn id="5" name="تصنيف فرعي (1)" dataDxfId="21"/>
    <tableColumn id="12" name="unit id" dataDxfId="0">
      <calculatedColumnFormula>VLOOKUP(الصنف[[#This Row],[وحده القياس]],$S$4:$T$67,2,TRUE)</calculatedColumnFormula>
    </tableColumn>
    <tableColumn id="6" name="وحده القياس" dataDxfId="20"/>
    <tableColumn id="7" name="تقسيم الوحده" dataDxfId="19"/>
    <tableColumn id="8" name="وحده المكونات" dataDxfId="18"/>
    <tableColumn id="9" name="متوسط السعر" dataDxfId="17"/>
    <tableColumn id="13" name="Column1" dataDxfId="1">
      <calculatedColumnFormula>IF(الصنف[[#This Row],[وحده المكونات]]="جرام",1,0)</calculatedColumnFormula>
    </tableColumn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id="2" name="تصنيف_فرعي_2" displayName="تصنيف_فرعي_2" ref="F2:F67" totalsRowShown="0" headerRowDxfId="16" dataDxfId="15">
  <autoFilter ref="F2:F67"/>
  <tableColumns count="1">
    <tableColumn id="4" name="تصنيف فرعي (2)" dataDxfId="14"/>
  </tableColumns>
  <tableStyleInfo name="TableStyleMedium15 2" showFirstColumn="0" showLastColumn="0" showRowStripes="1" showColumnStripes="0"/>
</table>
</file>

<file path=xl/tables/table3.xml><?xml version="1.0" encoding="utf-8"?>
<table xmlns="http://schemas.openxmlformats.org/spreadsheetml/2006/main" id="3" name="تصنيف_فرعي_1" displayName="تصنيف_فرعي_1" ref="D2:D25" totalsRowShown="0" headerRowDxfId="13" dataDxfId="12">
  <autoFilter ref="D2:D25"/>
  <tableColumns count="1">
    <tableColumn id="1" name="تصنيف فرعي (1)" dataDxfId="11"/>
  </tableColumns>
  <tableStyleInfo name="TableStyleMedium15 2" showFirstColumn="0" showLastColumn="0" showRowStripes="1" showColumnStripes="0"/>
</table>
</file>

<file path=xl/tables/table4.xml><?xml version="1.0" encoding="utf-8"?>
<table xmlns="http://schemas.openxmlformats.org/spreadsheetml/2006/main" id="5" name="تصنيف_فرعي_16" displayName="تصنيف_فرعي_16" ref="B2:B9" totalsRowShown="0" headerRowDxfId="10" dataDxfId="9">
  <autoFilter ref="B2:B9"/>
  <tableColumns count="1">
    <tableColumn id="1" name="تصنيف فرعي (0)" dataDxfId="8"/>
  </tableColumns>
  <tableStyleInfo name="TableStyleMedium15 2" showFirstColumn="0" showLastColumn="0" showRowStripes="1" showColumnStripes="0"/>
</table>
</file>

<file path=xl/tables/table5.xml><?xml version="1.0" encoding="utf-8"?>
<table xmlns="http://schemas.openxmlformats.org/spreadsheetml/2006/main" id="4" name="وحده_القياس" displayName="وحده_القياس" ref="B2:E66" totalsRowShown="0" headerRowDxfId="7" dataDxfId="6">
  <autoFilter ref="B2:E66"/>
  <tableColumns count="4">
    <tableColumn id="6" name="وحده القياس" dataDxfId="5"/>
    <tableColumn id="7" name="تقسيم الوحده" dataDxfId="4"/>
    <tableColumn id="8" name="وحده المكونات" dataDxfId="3"/>
    <tableColumn id="1" name="unit id" dataDxfId="2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T743"/>
  <sheetViews>
    <sheetView showGridLines="0" tabSelected="1" zoomScale="90" zoomScaleNormal="90" workbookViewId="0">
      <pane xSplit="4" ySplit="2" topLeftCell="K723" activePane="bottomRight" state="frozen"/>
      <selection pane="topRight" activeCell="E1" sqref="E1"/>
      <selection pane="bottomLeft" activeCell="A3" sqref="A3"/>
      <selection pane="bottomRight" activeCell="C3" sqref="C3:C743"/>
    </sheetView>
  </sheetViews>
  <sheetFormatPr defaultColWidth="8.85546875" defaultRowHeight="20.100000000000001" customHeight="1" x14ac:dyDescent="0.2"/>
  <cols>
    <col min="1" max="1" width="1.7109375" style="1" customWidth="1"/>
    <col min="2" max="2" width="8.7109375" style="1" customWidth="1"/>
    <col min="3" max="3" width="10.7109375" style="1" customWidth="1"/>
    <col min="4" max="5" width="40.7109375" style="1" customWidth="1"/>
    <col min="6" max="6" width="16.7109375" style="1" customWidth="1"/>
    <col min="7" max="7" width="26.7109375" style="1" customWidth="1"/>
    <col min="8" max="8" width="25.7109375" style="2" customWidth="1"/>
    <col min="9" max="9" width="18.7109375" style="1" customWidth="1"/>
    <col min="10" max="10" width="20.5703125" style="1" bestFit="1" customWidth="1"/>
    <col min="11" max="11" width="61.5703125" style="1" customWidth="1"/>
    <col min="12" max="12" width="16.7109375" style="1" customWidth="1"/>
    <col min="13" max="13" width="11.140625" style="1" bestFit="1" customWidth="1"/>
    <col min="14" max="16" width="8.85546875" style="1"/>
    <col min="17" max="17" width="8.140625" style="1" customWidth="1"/>
    <col min="18" max="18" width="8.85546875" style="1" hidden="1" customWidth="1"/>
    <col min="19" max="19" width="18.28515625" style="1" customWidth="1"/>
    <col min="20" max="16384" width="8.85546875" style="1"/>
  </cols>
  <sheetData>
    <row r="1" spans="2:20" ht="11.25" customHeight="1" x14ac:dyDescent="0.2"/>
    <row r="2" spans="2:20" s="4" customFormat="1" ht="30" customHeight="1" x14ac:dyDescent="0.2">
      <c r="B2" s="3" t="s">
        <v>651</v>
      </c>
      <c r="C2" s="3" t="s">
        <v>652</v>
      </c>
      <c r="D2" s="3" t="s">
        <v>653</v>
      </c>
      <c r="E2" s="3" t="s">
        <v>654</v>
      </c>
      <c r="F2" s="3" t="s">
        <v>655</v>
      </c>
      <c r="G2" s="3" t="s">
        <v>1070</v>
      </c>
      <c r="H2" s="3" t="s">
        <v>840</v>
      </c>
      <c r="I2" s="3" t="s">
        <v>1069</v>
      </c>
      <c r="J2" s="3" t="s">
        <v>841</v>
      </c>
      <c r="K2" s="3" t="s">
        <v>1071</v>
      </c>
      <c r="L2" s="3" t="s">
        <v>656</v>
      </c>
      <c r="M2" s="3" t="s">
        <v>657</v>
      </c>
      <c r="N2" s="3" t="s">
        <v>658</v>
      </c>
      <c r="O2" s="3" t="s">
        <v>659</v>
      </c>
      <c r="P2" s="10" t="s">
        <v>1072</v>
      </c>
    </row>
    <row r="3" spans="2:20" ht="20.100000000000001" customHeight="1" x14ac:dyDescent="0.2">
      <c r="B3" s="4">
        <v>1</v>
      </c>
      <c r="C3" s="4">
        <v>1101001</v>
      </c>
      <c r="D3" s="2" t="s">
        <v>376</v>
      </c>
      <c r="E3" s="2" t="s">
        <v>376</v>
      </c>
      <c r="G3" s="1" t="str">
        <f>LEFT(الصنف[[#This Row],[تصنيف فرعي (2)]],4)</f>
        <v>1101</v>
      </c>
      <c r="H3" s="5" t="s">
        <v>982</v>
      </c>
      <c r="I3" s="5" t="str">
        <f>LEFT(الصنف[[#This Row],[تصنيف فرعي (1)]],2)</f>
        <v>11</v>
      </c>
      <c r="J3" s="1" t="s">
        <v>672</v>
      </c>
      <c r="K3" s="1">
        <f>VLOOKUP(الصنف[[#This Row],[وحده القياس]],$S$4:$T$67,2,TRUE)</f>
        <v>31</v>
      </c>
      <c r="L3" s="1" t="s">
        <v>918</v>
      </c>
      <c r="M3" s="1">
        <v>5</v>
      </c>
      <c r="N3" s="6" t="s">
        <v>742</v>
      </c>
      <c r="O3" s="7">
        <v>73</v>
      </c>
      <c r="P3" s="9">
        <f>IF(الصنف[[#This Row],[وحده المكونات]]="جرام",1,0)</f>
        <v>0</v>
      </c>
    </row>
    <row r="4" spans="2:20" ht="20.100000000000001" customHeight="1" x14ac:dyDescent="0.2">
      <c r="B4" s="4">
        <v>2</v>
      </c>
      <c r="C4" s="4">
        <v>1101002</v>
      </c>
      <c r="D4" s="2" t="s">
        <v>455</v>
      </c>
      <c r="E4" s="2" t="s">
        <v>455</v>
      </c>
      <c r="G4" s="1" t="str">
        <f>LEFT(الصنف[[#This Row],[تصنيف فرعي (2)]],4)</f>
        <v>1101</v>
      </c>
      <c r="H4" s="5" t="s">
        <v>982</v>
      </c>
      <c r="I4" s="5" t="str">
        <f>LEFT(الصنف[[#This Row],[تصنيف فرعي (1)]],2)</f>
        <v>11</v>
      </c>
      <c r="J4" s="1" t="s">
        <v>672</v>
      </c>
      <c r="K4" s="1">
        <f>VLOOKUP(الصنف[[#This Row],[وحده القياس]],$S$4:$T$67,2,TRUE)</f>
        <v>60</v>
      </c>
      <c r="L4" s="1" t="s">
        <v>686</v>
      </c>
      <c r="M4" s="1">
        <v>1000</v>
      </c>
      <c r="N4" s="6" t="s">
        <v>678</v>
      </c>
      <c r="O4" s="7">
        <v>430</v>
      </c>
      <c r="P4" s="9">
        <f>IF(الصنف[[#This Row],[وحده المكونات]]="جرام",1,0)</f>
        <v>1</v>
      </c>
      <c r="S4" s="1" t="s">
        <v>787</v>
      </c>
      <c r="T4" s="1">
        <v>1</v>
      </c>
    </row>
    <row r="5" spans="2:20" ht="20.100000000000001" customHeight="1" x14ac:dyDescent="0.2">
      <c r="B5" s="4">
        <v>3</v>
      </c>
      <c r="C5" s="4">
        <v>1101003</v>
      </c>
      <c r="D5" s="2" t="s">
        <v>461</v>
      </c>
      <c r="E5" s="2" t="s">
        <v>461</v>
      </c>
      <c r="G5" s="1" t="str">
        <f>LEFT(الصنف[[#This Row],[تصنيف فرعي (2)]],4)</f>
        <v>1101</v>
      </c>
      <c r="H5" s="5" t="s">
        <v>982</v>
      </c>
      <c r="I5" s="5" t="str">
        <f>LEFT(الصنف[[#This Row],[تصنيف فرعي (1)]],2)</f>
        <v>11</v>
      </c>
      <c r="J5" s="1" t="s">
        <v>672</v>
      </c>
      <c r="K5" s="1">
        <f>VLOOKUP(الصنف[[#This Row],[وحده القياس]],$S$4:$T$67,2,TRUE)</f>
        <v>60</v>
      </c>
      <c r="L5" s="1" t="s">
        <v>686</v>
      </c>
      <c r="M5" s="1">
        <v>1000</v>
      </c>
      <c r="N5" s="6" t="s">
        <v>678</v>
      </c>
      <c r="O5" s="7">
        <v>208</v>
      </c>
      <c r="P5" s="9">
        <f>IF(الصنف[[#This Row],[وحده المكونات]]="جرام",1,0)</f>
        <v>1</v>
      </c>
      <c r="S5" s="1" t="s">
        <v>843</v>
      </c>
      <c r="T5" s="1">
        <v>2</v>
      </c>
    </row>
    <row r="6" spans="2:20" ht="20.100000000000001" customHeight="1" x14ac:dyDescent="0.2">
      <c r="B6" s="4">
        <v>4</v>
      </c>
      <c r="C6" s="4">
        <v>1101004</v>
      </c>
      <c r="D6" s="2" t="s">
        <v>462</v>
      </c>
      <c r="E6" s="2" t="s">
        <v>462</v>
      </c>
      <c r="G6" s="1" t="str">
        <f>LEFT(الصنف[[#This Row],[تصنيف فرعي (2)]],4)</f>
        <v>1101</v>
      </c>
      <c r="H6" s="5" t="s">
        <v>982</v>
      </c>
      <c r="I6" s="5" t="str">
        <f>LEFT(الصنف[[#This Row],[تصنيف فرعي (1)]],2)</f>
        <v>11</v>
      </c>
      <c r="J6" s="1" t="s">
        <v>672</v>
      </c>
      <c r="K6" s="1">
        <f>VLOOKUP(الصنف[[#This Row],[وحده القياس]],$S$4:$T$67,2,TRUE)</f>
        <v>60</v>
      </c>
      <c r="L6" s="1" t="s">
        <v>686</v>
      </c>
      <c r="M6" s="1">
        <v>1000</v>
      </c>
      <c r="N6" s="6" t="s">
        <v>678</v>
      </c>
      <c r="O6" s="7">
        <v>430</v>
      </c>
      <c r="P6" s="9">
        <f>IF(الصنف[[#This Row],[وحده المكونات]]="جرام",1,0)</f>
        <v>1</v>
      </c>
      <c r="S6" s="1" t="s">
        <v>388</v>
      </c>
      <c r="T6" s="1">
        <v>3</v>
      </c>
    </row>
    <row r="7" spans="2:20" ht="20.100000000000001" customHeight="1" x14ac:dyDescent="0.2">
      <c r="B7" s="4">
        <v>5</v>
      </c>
      <c r="C7" s="4">
        <v>1101005</v>
      </c>
      <c r="D7" s="2" t="s">
        <v>253</v>
      </c>
      <c r="E7" s="2" t="s">
        <v>253</v>
      </c>
      <c r="G7" s="1" t="str">
        <f>LEFT(الصنف[[#This Row],[تصنيف فرعي (2)]],4)</f>
        <v>1101</v>
      </c>
      <c r="H7" s="5" t="s">
        <v>982</v>
      </c>
      <c r="I7" s="5" t="str">
        <f>LEFT(الصنف[[#This Row],[تصنيف فرعي (1)]],2)</f>
        <v>11</v>
      </c>
      <c r="J7" s="1" t="s">
        <v>672</v>
      </c>
      <c r="K7" s="1">
        <f>VLOOKUP(الصنف[[#This Row],[وحده القياس]],$S$4:$T$67,2,TRUE)</f>
        <v>60</v>
      </c>
      <c r="L7" s="1" t="s">
        <v>686</v>
      </c>
      <c r="M7" s="1">
        <v>1000</v>
      </c>
      <c r="N7" s="6" t="s">
        <v>678</v>
      </c>
      <c r="O7" s="7"/>
      <c r="P7" s="9">
        <f>IF(الصنف[[#This Row],[وحده المكونات]]="جرام",1,0)</f>
        <v>1</v>
      </c>
      <c r="S7" s="1" t="s">
        <v>946</v>
      </c>
      <c r="T7" s="1">
        <v>4</v>
      </c>
    </row>
    <row r="8" spans="2:20" ht="20.100000000000001" customHeight="1" x14ac:dyDescent="0.2">
      <c r="B8" s="4">
        <v>6</v>
      </c>
      <c r="C8" s="4">
        <v>1101006</v>
      </c>
      <c r="D8" s="2" t="s">
        <v>224</v>
      </c>
      <c r="E8" s="2" t="s">
        <v>224</v>
      </c>
      <c r="G8" s="1" t="str">
        <f>LEFT(الصنف[[#This Row],[تصنيف فرعي (2)]],4)</f>
        <v>1101</v>
      </c>
      <c r="H8" s="5" t="s">
        <v>982</v>
      </c>
      <c r="I8" s="5" t="str">
        <f>LEFT(الصنف[[#This Row],[تصنيف فرعي (1)]],2)</f>
        <v>11</v>
      </c>
      <c r="J8" s="1" t="s">
        <v>672</v>
      </c>
      <c r="K8" s="1">
        <f>VLOOKUP(الصنف[[#This Row],[وحده القياس]],$S$4:$T$67,2,TRUE)</f>
        <v>60</v>
      </c>
      <c r="L8" s="1" t="s">
        <v>686</v>
      </c>
      <c r="M8" s="1">
        <v>1000</v>
      </c>
      <c r="N8" s="6" t="s">
        <v>678</v>
      </c>
      <c r="O8" s="7"/>
      <c r="P8" s="9">
        <f>IF(الصنف[[#This Row],[وحده المكونات]]="جرام",1,0)</f>
        <v>1</v>
      </c>
      <c r="S8" s="1" t="s">
        <v>943</v>
      </c>
      <c r="T8" s="1">
        <v>5</v>
      </c>
    </row>
    <row r="9" spans="2:20" ht="20.100000000000001" customHeight="1" x14ac:dyDescent="0.2">
      <c r="B9" s="4">
        <v>7</v>
      </c>
      <c r="C9" s="4">
        <v>1101007</v>
      </c>
      <c r="D9" s="2" t="s">
        <v>374</v>
      </c>
      <c r="E9" s="2" t="s">
        <v>374</v>
      </c>
      <c r="G9" s="1" t="str">
        <f>LEFT(الصنف[[#This Row],[تصنيف فرعي (2)]],4)</f>
        <v>1101</v>
      </c>
      <c r="H9" s="5" t="s">
        <v>982</v>
      </c>
      <c r="I9" s="5" t="str">
        <f>LEFT(الصنف[[#This Row],[تصنيف فرعي (1)]],2)</f>
        <v>11</v>
      </c>
      <c r="J9" s="1" t="s">
        <v>672</v>
      </c>
      <c r="K9" s="1">
        <f>VLOOKUP(الصنف[[#This Row],[وحده القياس]],$S$4:$T$67,2,TRUE)</f>
        <v>60</v>
      </c>
      <c r="L9" s="1" t="s">
        <v>686</v>
      </c>
      <c r="M9" s="1">
        <v>1000</v>
      </c>
      <c r="N9" s="6" t="s">
        <v>678</v>
      </c>
      <c r="O9" s="7"/>
      <c r="P9" s="9">
        <f>IF(الصنف[[#This Row],[وحده المكونات]]="جرام",1,0)</f>
        <v>1</v>
      </c>
      <c r="S9" s="1" t="s">
        <v>680</v>
      </c>
      <c r="T9" s="1">
        <v>6</v>
      </c>
    </row>
    <row r="10" spans="2:20" ht="20.100000000000001" customHeight="1" x14ac:dyDescent="0.2">
      <c r="B10" s="4">
        <v>8</v>
      </c>
      <c r="C10" s="4">
        <v>1101008</v>
      </c>
      <c r="D10" s="2" t="s">
        <v>228</v>
      </c>
      <c r="E10" s="2" t="s">
        <v>228</v>
      </c>
      <c r="G10" s="1" t="str">
        <f>LEFT(الصنف[[#This Row],[تصنيف فرعي (2)]],4)</f>
        <v>1101</v>
      </c>
      <c r="H10" s="5" t="s">
        <v>982</v>
      </c>
      <c r="I10" s="5" t="str">
        <f>LEFT(الصنف[[#This Row],[تصنيف فرعي (1)]],2)</f>
        <v>11</v>
      </c>
      <c r="J10" s="1" t="s">
        <v>672</v>
      </c>
      <c r="K10" s="1">
        <f>VLOOKUP(الصنف[[#This Row],[وحده القياس]],$S$4:$T$67,2,TRUE)</f>
        <v>60</v>
      </c>
      <c r="L10" s="1" t="s">
        <v>686</v>
      </c>
      <c r="M10" s="1">
        <v>1000</v>
      </c>
      <c r="N10" s="6" t="s">
        <v>678</v>
      </c>
      <c r="O10" s="7"/>
      <c r="P10" s="9">
        <f>IF(الصنف[[#This Row],[وحده المكونات]]="جرام",1,0)</f>
        <v>1</v>
      </c>
      <c r="S10" s="1" t="s">
        <v>681</v>
      </c>
      <c r="T10" s="1">
        <v>7</v>
      </c>
    </row>
    <row r="11" spans="2:20" ht="20.100000000000001" customHeight="1" x14ac:dyDescent="0.2">
      <c r="B11" s="4">
        <v>9</v>
      </c>
      <c r="C11" s="4">
        <v>1101009</v>
      </c>
      <c r="D11" s="2" t="s">
        <v>535</v>
      </c>
      <c r="E11" s="2" t="s">
        <v>535</v>
      </c>
      <c r="G11" s="1" t="str">
        <f>LEFT(الصنف[[#This Row],[تصنيف فرعي (2)]],4)</f>
        <v>1101</v>
      </c>
      <c r="H11" s="5" t="s">
        <v>982</v>
      </c>
      <c r="I11" s="5" t="str">
        <f>LEFT(الصنف[[#This Row],[تصنيف فرعي (1)]],2)</f>
        <v>11</v>
      </c>
      <c r="J11" s="1" t="s">
        <v>672</v>
      </c>
      <c r="K11" s="1">
        <f>VLOOKUP(الصنف[[#This Row],[وحده القياس]],$S$4:$T$67,2,TRUE)</f>
        <v>31</v>
      </c>
      <c r="L11" s="1" t="s">
        <v>918</v>
      </c>
      <c r="M11" s="1">
        <v>5</v>
      </c>
      <c r="N11" s="6" t="s">
        <v>742</v>
      </c>
      <c r="O11" s="7"/>
      <c r="P11" s="9">
        <f>IF(الصنف[[#This Row],[وحده المكونات]]="جرام",1,0)</f>
        <v>0</v>
      </c>
      <c r="S11" s="1" t="s">
        <v>689</v>
      </c>
      <c r="T11" s="1">
        <v>8</v>
      </c>
    </row>
    <row r="12" spans="2:20" ht="20.100000000000001" customHeight="1" x14ac:dyDescent="0.2">
      <c r="B12" s="4">
        <v>10</v>
      </c>
      <c r="C12" s="4">
        <v>1101010</v>
      </c>
      <c r="D12" s="2" t="s">
        <v>451</v>
      </c>
      <c r="E12" s="2" t="s">
        <v>451</v>
      </c>
      <c r="G12" s="1" t="str">
        <f>LEFT(الصنف[[#This Row],[تصنيف فرعي (2)]],4)</f>
        <v>1101</v>
      </c>
      <c r="H12" s="5" t="s">
        <v>982</v>
      </c>
      <c r="I12" s="5" t="str">
        <f>LEFT(الصنف[[#This Row],[تصنيف فرعي (1)]],2)</f>
        <v>11</v>
      </c>
      <c r="J12" s="1" t="s">
        <v>672</v>
      </c>
      <c r="K12" s="1">
        <f>VLOOKUP(الصنف[[#This Row],[وحده القياس]],$S$4:$T$67,2,TRUE)</f>
        <v>60</v>
      </c>
      <c r="L12" s="1" t="s">
        <v>686</v>
      </c>
      <c r="M12" s="1">
        <v>1000</v>
      </c>
      <c r="N12" s="6" t="s">
        <v>678</v>
      </c>
      <c r="O12" s="7"/>
      <c r="P12" s="9">
        <f>IF(الصنف[[#This Row],[وحده المكونات]]="جرام",1,0)</f>
        <v>1</v>
      </c>
      <c r="S12" s="1" t="s">
        <v>687</v>
      </c>
      <c r="T12" s="1">
        <v>9</v>
      </c>
    </row>
    <row r="13" spans="2:20" ht="20.100000000000001" customHeight="1" x14ac:dyDescent="0.2">
      <c r="B13" s="4">
        <v>11</v>
      </c>
      <c r="C13" s="4">
        <v>1101011</v>
      </c>
      <c r="D13" s="2" t="s">
        <v>215</v>
      </c>
      <c r="E13" s="2" t="s">
        <v>215</v>
      </c>
      <c r="G13" s="1" t="str">
        <f>LEFT(الصنف[[#This Row],[تصنيف فرعي (2)]],4)</f>
        <v>1101</v>
      </c>
      <c r="H13" s="5" t="s">
        <v>982</v>
      </c>
      <c r="I13" s="5" t="str">
        <f>LEFT(الصنف[[#This Row],[تصنيف فرعي (1)]],2)</f>
        <v>11</v>
      </c>
      <c r="J13" s="1" t="s">
        <v>672</v>
      </c>
      <c r="K13" s="1">
        <f>VLOOKUP(الصنف[[#This Row],[وحده القياس]],$S$4:$T$67,2,TRUE)</f>
        <v>60</v>
      </c>
      <c r="L13" s="1" t="s">
        <v>686</v>
      </c>
      <c r="M13" s="1">
        <v>1000</v>
      </c>
      <c r="N13" s="6" t="s">
        <v>678</v>
      </c>
      <c r="O13" s="7"/>
      <c r="P13" s="9">
        <f>IF(الصنف[[#This Row],[وحده المكونات]]="جرام",1,0)</f>
        <v>1</v>
      </c>
      <c r="S13" s="1" t="s">
        <v>385</v>
      </c>
      <c r="T13" s="1">
        <v>10</v>
      </c>
    </row>
    <row r="14" spans="2:20" ht="20.100000000000001" customHeight="1" x14ac:dyDescent="0.2">
      <c r="B14" s="4">
        <v>12</v>
      </c>
      <c r="C14" s="4">
        <v>1101012</v>
      </c>
      <c r="D14" s="2" t="s">
        <v>931</v>
      </c>
      <c r="E14" s="2" t="s">
        <v>619</v>
      </c>
      <c r="G14" s="1" t="str">
        <f>LEFT(الصنف[[#This Row],[تصنيف فرعي (2)]],4)</f>
        <v>1101</v>
      </c>
      <c r="H14" s="5" t="s">
        <v>982</v>
      </c>
      <c r="I14" s="5" t="str">
        <f>LEFT(الصنف[[#This Row],[تصنيف فرعي (1)]],2)</f>
        <v>11</v>
      </c>
      <c r="J14" s="1" t="s">
        <v>672</v>
      </c>
      <c r="K14" s="1">
        <f>VLOOKUP(الصنف[[#This Row],[وحده القياس]],$S$4:$T$67,2,TRUE)</f>
        <v>60</v>
      </c>
      <c r="L14" s="1" t="s">
        <v>686</v>
      </c>
      <c r="M14" s="1">
        <v>1000</v>
      </c>
      <c r="N14" s="6" t="s">
        <v>678</v>
      </c>
      <c r="O14" s="7"/>
      <c r="P14" s="9">
        <f>IF(الصنف[[#This Row],[وحده المكونات]]="جرام",1,0)</f>
        <v>1</v>
      </c>
      <c r="S14" s="1" t="s">
        <v>842</v>
      </c>
      <c r="T14" s="1">
        <v>11</v>
      </c>
    </row>
    <row r="15" spans="2:20" ht="20.100000000000001" customHeight="1" x14ac:dyDescent="0.2">
      <c r="B15" s="4">
        <v>13</v>
      </c>
      <c r="C15" s="4">
        <v>1101013</v>
      </c>
      <c r="D15" s="2" t="s">
        <v>238</v>
      </c>
      <c r="E15" s="2" t="s">
        <v>238</v>
      </c>
      <c r="G15" s="1" t="str">
        <f>LEFT(الصنف[[#This Row],[تصنيف فرعي (2)]],4)</f>
        <v>1101</v>
      </c>
      <c r="H15" s="5" t="s">
        <v>982</v>
      </c>
      <c r="I15" s="5" t="str">
        <f>LEFT(الصنف[[#This Row],[تصنيف فرعي (1)]],2)</f>
        <v>11</v>
      </c>
      <c r="J15" s="1" t="s">
        <v>672</v>
      </c>
      <c r="K15" s="1">
        <f>VLOOKUP(الصنف[[#This Row],[وحده القياس]],$S$4:$T$67,2,TRUE)</f>
        <v>60</v>
      </c>
      <c r="L15" s="1" t="s">
        <v>686</v>
      </c>
      <c r="M15" s="1">
        <v>1000</v>
      </c>
      <c r="N15" s="6" t="s">
        <v>678</v>
      </c>
      <c r="O15" s="7"/>
      <c r="P15" s="9">
        <f>IF(الصنف[[#This Row],[وحده المكونات]]="جرام",1,0)</f>
        <v>1</v>
      </c>
      <c r="S15" s="1" t="s">
        <v>778</v>
      </c>
      <c r="T15" s="1">
        <v>12</v>
      </c>
    </row>
    <row r="16" spans="2:20" ht="20.100000000000001" customHeight="1" x14ac:dyDescent="0.2">
      <c r="B16" s="4">
        <v>14</v>
      </c>
      <c r="C16" s="4">
        <v>1101014</v>
      </c>
      <c r="D16" s="2" t="s">
        <v>236</v>
      </c>
      <c r="E16" s="2" t="s">
        <v>236</v>
      </c>
      <c r="G16" s="1" t="str">
        <f>LEFT(الصنف[[#This Row],[تصنيف فرعي (2)]],4)</f>
        <v>1101</v>
      </c>
      <c r="H16" s="5" t="s">
        <v>982</v>
      </c>
      <c r="I16" s="5" t="str">
        <f>LEFT(الصنف[[#This Row],[تصنيف فرعي (1)]],2)</f>
        <v>11</v>
      </c>
      <c r="J16" s="1" t="s">
        <v>672</v>
      </c>
      <c r="K16" s="1">
        <f>VLOOKUP(الصنف[[#This Row],[وحده القياس]],$S$4:$T$67,2,TRUE)</f>
        <v>60</v>
      </c>
      <c r="L16" s="1" t="s">
        <v>686</v>
      </c>
      <c r="M16" s="1">
        <v>1000</v>
      </c>
      <c r="N16" s="6" t="s">
        <v>678</v>
      </c>
      <c r="O16" s="7"/>
      <c r="P16" s="9">
        <f>IF(الصنف[[#This Row],[وحده المكونات]]="جرام",1,0)</f>
        <v>1</v>
      </c>
      <c r="S16" s="1" t="s">
        <v>896</v>
      </c>
      <c r="T16" s="1">
        <v>13</v>
      </c>
    </row>
    <row r="17" spans="2:20" ht="20.100000000000001" customHeight="1" x14ac:dyDescent="0.2">
      <c r="B17" s="4">
        <v>15</v>
      </c>
      <c r="C17" s="4">
        <v>1101015</v>
      </c>
      <c r="D17" s="2" t="s">
        <v>930</v>
      </c>
      <c r="E17" s="2" t="s">
        <v>225</v>
      </c>
      <c r="G17" s="1" t="str">
        <f>LEFT(الصنف[[#This Row],[تصنيف فرعي (2)]],4)</f>
        <v>1101</v>
      </c>
      <c r="H17" s="5" t="s">
        <v>982</v>
      </c>
      <c r="I17" s="5" t="str">
        <f>LEFT(الصنف[[#This Row],[تصنيف فرعي (1)]],2)</f>
        <v>11</v>
      </c>
      <c r="J17" s="1" t="s">
        <v>672</v>
      </c>
      <c r="K17" s="1">
        <f>VLOOKUP(الصنف[[#This Row],[وحده القياس]],$S$4:$T$67,2,TRUE)</f>
        <v>32</v>
      </c>
      <c r="L17" s="1" t="s">
        <v>389</v>
      </c>
      <c r="M17" s="1">
        <v>4</v>
      </c>
      <c r="N17" s="6" t="s">
        <v>742</v>
      </c>
      <c r="O17" s="7"/>
      <c r="P17" s="9">
        <f>IF(الصنف[[#This Row],[وحده المكونات]]="جرام",1,0)</f>
        <v>0</v>
      </c>
      <c r="S17" s="1" t="s">
        <v>381</v>
      </c>
      <c r="T17" s="1">
        <v>14</v>
      </c>
    </row>
    <row r="18" spans="2:20" ht="20.100000000000001" customHeight="1" x14ac:dyDescent="0.2">
      <c r="B18" s="4">
        <v>16</v>
      </c>
      <c r="C18" s="4">
        <v>1101016</v>
      </c>
      <c r="D18" s="2" t="s">
        <v>932</v>
      </c>
      <c r="E18" s="2" t="s">
        <v>225</v>
      </c>
      <c r="G18" s="1" t="str">
        <f>LEFT(الصنف[[#This Row],[تصنيف فرعي (2)]],4)</f>
        <v>1101</v>
      </c>
      <c r="H18" s="5" t="s">
        <v>982</v>
      </c>
      <c r="I18" s="5" t="str">
        <f>LEFT(الصنف[[#This Row],[تصنيف فرعي (1)]],2)</f>
        <v>11</v>
      </c>
      <c r="J18" s="1" t="s">
        <v>672</v>
      </c>
      <c r="K18" s="1">
        <f>VLOOKUP(الصنف[[#This Row],[وحده القياس]],$S$4:$T$67,2,TRUE)</f>
        <v>32</v>
      </c>
      <c r="L18" s="1" t="s">
        <v>389</v>
      </c>
      <c r="M18" s="1">
        <v>4</v>
      </c>
      <c r="N18" s="6" t="s">
        <v>742</v>
      </c>
      <c r="O18" s="7"/>
      <c r="P18" s="9">
        <f>IF(الصنف[[#This Row],[وحده المكونات]]="جرام",1,0)</f>
        <v>0</v>
      </c>
      <c r="S18" s="1" t="s">
        <v>776</v>
      </c>
      <c r="T18" s="1">
        <v>15</v>
      </c>
    </row>
    <row r="19" spans="2:20" ht="20.100000000000001" customHeight="1" x14ac:dyDescent="0.2">
      <c r="B19" s="4">
        <v>17</v>
      </c>
      <c r="C19" s="4">
        <v>1101017</v>
      </c>
      <c r="D19" s="2" t="s">
        <v>549</v>
      </c>
      <c r="E19" s="2" t="s">
        <v>549</v>
      </c>
      <c r="G19" s="1" t="str">
        <f>LEFT(الصنف[[#This Row],[تصنيف فرعي (2)]],4)</f>
        <v>1101</v>
      </c>
      <c r="H19" s="5" t="s">
        <v>982</v>
      </c>
      <c r="I19" s="5" t="str">
        <f>LEFT(الصنف[[#This Row],[تصنيف فرعي (1)]],2)</f>
        <v>11</v>
      </c>
      <c r="J19" s="1" t="s">
        <v>672</v>
      </c>
      <c r="K19" s="1">
        <f>VLOOKUP(الصنف[[#This Row],[وحده القياس]],$S$4:$T$67,2,TRUE)</f>
        <v>60</v>
      </c>
      <c r="L19" s="1" t="s">
        <v>686</v>
      </c>
      <c r="M19" s="1">
        <v>1000</v>
      </c>
      <c r="N19" s="6" t="s">
        <v>678</v>
      </c>
      <c r="O19" s="7"/>
      <c r="P19" s="9">
        <f>IF(الصنف[[#This Row],[وحده المكونات]]="جرام",1,0)</f>
        <v>1</v>
      </c>
      <c r="S19" s="1" t="s">
        <v>879</v>
      </c>
      <c r="T19" s="1">
        <v>16</v>
      </c>
    </row>
    <row r="20" spans="2:20" ht="20.100000000000001" customHeight="1" x14ac:dyDescent="0.2">
      <c r="B20" s="4">
        <v>18</v>
      </c>
      <c r="C20" s="4">
        <v>1101018</v>
      </c>
      <c r="D20" s="2" t="s">
        <v>231</v>
      </c>
      <c r="E20" s="2" t="s">
        <v>231</v>
      </c>
      <c r="G20" s="1" t="str">
        <f>LEFT(الصنف[[#This Row],[تصنيف فرعي (2)]],4)</f>
        <v>1101</v>
      </c>
      <c r="H20" s="5" t="s">
        <v>982</v>
      </c>
      <c r="I20" s="5" t="str">
        <f>LEFT(الصنف[[#This Row],[تصنيف فرعي (1)]],2)</f>
        <v>11</v>
      </c>
      <c r="J20" s="1" t="s">
        <v>672</v>
      </c>
      <c r="K20" s="1">
        <f>VLOOKUP(الصنف[[#This Row],[وحده القياس]],$S$4:$T$67,2,TRUE)</f>
        <v>60</v>
      </c>
      <c r="L20" s="1" t="s">
        <v>686</v>
      </c>
      <c r="M20" s="1">
        <v>1000</v>
      </c>
      <c r="N20" s="6" t="s">
        <v>678</v>
      </c>
      <c r="O20" s="7"/>
      <c r="P20" s="9">
        <f>IF(الصنف[[#This Row],[وحده المكونات]]="جرام",1,0)</f>
        <v>1</v>
      </c>
      <c r="S20" s="1" t="s">
        <v>786</v>
      </c>
      <c r="T20" s="1">
        <v>17</v>
      </c>
    </row>
    <row r="21" spans="2:20" ht="20.100000000000001" customHeight="1" x14ac:dyDescent="0.2">
      <c r="B21" s="4">
        <v>19</v>
      </c>
      <c r="C21" s="4">
        <v>1101019</v>
      </c>
      <c r="D21" s="2" t="s">
        <v>234</v>
      </c>
      <c r="E21" s="2" t="s">
        <v>234</v>
      </c>
      <c r="G21" s="1" t="str">
        <f>LEFT(الصنف[[#This Row],[تصنيف فرعي (2)]],4)</f>
        <v>1101</v>
      </c>
      <c r="H21" s="5" t="s">
        <v>982</v>
      </c>
      <c r="I21" s="5" t="str">
        <f>LEFT(الصنف[[#This Row],[تصنيف فرعي (1)]],2)</f>
        <v>11</v>
      </c>
      <c r="J21" s="1" t="s">
        <v>672</v>
      </c>
      <c r="K21" s="1">
        <f>VLOOKUP(الصنف[[#This Row],[وحده القياس]],$S$4:$T$67,2,TRUE)</f>
        <v>60</v>
      </c>
      <c r="L21" s="1" t="s">
        <v>686</v>
      </c>
      <c r="M21" s="1">
        <v>1000</v>
      </c>
      <c r="N21" s="6" t="s">
        <v>678</v>
      </c>
      <c r="O21" s="7"/>
      <c r="P21" s="9">
        <f>IF(الصنف[[#This Row],[وحده المكونات]]="جرام",1,0)</f>
        <v>1</v>
      </c>
      <c r="S21" s="1" t="s">
        <v>765</v>
      </c>
      <c r="T21" s="1">
        <v>18</v>
      </c>
    </row>
    <row r="22" spans="2:20" ht="20.100000000000001" customHeight="1" x14ac:dyDescent="0.2">
      <c r="B22" s="4">
        <v>20</v>
      </c>
      <c r="C22" s="4">
        <v>1101020</v>
      </c>
      <c r="D22" s="2" t="s">
        <v>1049</v>
      </c>
      <c r="E22" s="2" t="s">
        <v>232</v>
      </c>
      <c r="G22" s="1" t="str">
        <f>LEFT(الصنف[[#This Row],[تصنيف فرعي (2)]],4)</f>
        <v>1101</v>
      </c>
      <c r="H22" s="5" t="s">
        <v>982</v>
      </c>
      <c r="I22" s="5" t="str">
        <f>LEFT(الصنف[[#This Row],[تصنيف فرعي (1)]],2)</f>
        <v>11</v>
      </c>
      <c r="J22" s="1" t="s">
        <v>672</v>
      </c>
      <c r="K22" s="1">
        <f>VLOOKUP(الصنف[[#This Row],[وحده القياس]],$S$4:$T$67,2,TRUE)</f>
        <v>60</v>
      </c>
      <c r="L22" s="1" t="s">
        <v>686</v>
      </c>
      <c r="M22" s="1">
        <v>1000</v>
      </c>
      <c r="N22" s="6" t="s">
        <v>678</v>
      </c>
      <c r="O22" s="7"/>
      <c r="P22" s="9">
        <f>IF(الصنف[[#This Row],[وحده المكونات]]="جرام",1,0)</f>
        <v>1</v>
      </c>
      <c r="S22" s="1" t="s">
        <v>746</v>
      </c>
      <c r="T22" s="1">
        <v>19</v>
      </c>
    </row>
    <row r="23" spans="2:20" ht="20.100000000000001" customHeight="1" x14ac:dyDescent="0.2">
      <c r="B23" s="4">
        <v>21</v>
      </c>
      <c r="C23" s="4">
        <v>1101021</v>
      </c>
      <c r="D23" s="2" t="s">
        <v>229</v>
      </c>
      <c r="E23" s="2" t="s">
        <v>229</v>
      </c>
      <c r="G23" s="1" t="str">
        <f>LEFT(الصنف[[#This Row],[تصنيف فرعي (2)]],4)</f>
        <v>1101</v>
      </c>
      <c r="H23" s="5" t="s">
        <v>982</v>
      </c>
      <c r="I23" s="5" t="str">
        <f>LEFT(الصنف[[#This Row],[تصنيف فرعي (1)]],2)</f>
        <v>11</v>
      </c>
      <c r="J23" s="1" t="s">
        <v>672</v>
      </c>
      <c r="K23" s="1">
        <f>VLOOKUP(الصنف[[#This Row],[وحده القياس]],$S$4:$T$67,2,TRUE)</f>
        <v>60</v>
      </c>
      <c r="L23" s="1" t="s">
        <v>686</v>
      </c>
      <c r="M23" s="1">
        <v>1000</v>
      </c>
      <c r="N23" s="6" t="s">
        <v>678</v>
      </c>
      <c r="O23" s="7"/>
      <c r="P23" s="9">
        <f>IF(الصنف[[#This Row],[وحده المكونات]]="جرام",1,0)</f>
        <v>1</v>
      </c>
      <c r="S23" s="1" t="s">
        <v>942</v>
      </c>
      <c r="T23" s="1">
        <v>20</v>
      </c>
    </row>
    <row r="24" spans="2:20" ht="20.100000000000001" customHeight="1" x14ac:dyDescent="0.2">
      <c r="B24" s="4">
        <v>22</v>
      </c>
      <c r="C24" s="4">
        <v>1101022</v>
      </c>
      <c r="D24" s="2" t="s">
        <v>222</v>
      </c>
      <c r="E24" s="2" t="s">
        <v>222</v>
      </c>
      <c r="G24" s="1" t="str">
        <f>LEFT(الصنف[[#This Row],[تصنيف فرعي (2)]],4)</f>
        <v>1101</v>
      </c>
      <c r="H24" s="5" t="s">
        <v>982</v>
      </c>
      <c r="I24" s="5" t="str">
        <f>LEFT(الصنف[[#This Row],[تصنيف فرعي (1)]],2)</f>
        <v>11</v>
      </c>
      <c r="J24" s="1" t="s">
        <v>672</v>
      </c>
      <c r="K24" s="1">
        <f>VLOOKUP(الصنف[[#This Row],[وحده القياس]],$S$4:$T$67,2,TRUE)</f>
        <v>60</v>
      </c>
      <c r="L24" s="1" t="s">
        <v>686</v>
      </c>
      <c r="M24" s="1">
        <v>1000</v>
      </c>
      <c r="N24" s="6" t="s">
        <v>678</v>
      </c>
      <c r="O24" s="7"/>
      <c r="P24" s="9">
        <f>IF(الصنف[[#This Row],[وحده المكونات]]="جرام",1,0)</f>
        <v>1</v>
      </c>
      <c r="S24" s="1" t="s">
        <v>764</v>
      </c>
      <c r="T24" s="1">
        <v>21</v>
      </c>
    </row>
    <row r="25" spans="2:20" ht="20.100000000000001" customHeight="1" x14ac:dyDescent="0.2">
      <c r="B25" s="4">
        <v>23</v>
      </c>
      <c r="C25" s="4">
        <v>1101023</v>
      </c>
      <c r="D25" s="2" t="s">
        <v>933</v>
      </c>
      <c r="E25" s="2" t="s">
        <v>233</v>
      </c>
      <c r="G25" s="1" t="str">
        <f>LEFT(الصنف[[#This Row],[تصنيف فرعي (2)]],4)</f>
        <v>1101</v>
      </c>
      <c r="H25" s="5" t="s">
        <v>982</v>
      </c>
      <c r="I25" s="5" t="str">
        <f>LEFT(الصنف[[#This Row],[تصنيف فرعي (1)]],2)</f>
        <v>11</v>
      </c>
      <c r="J25" s="1" t="s">
        <v>672</v>
      </c>
      <c r="K25" s="1">
        <f>VLOOKUP(الصنف[[#This Row],[وحده القياس]],$S$4:$T$67,2,TRUE)</f>
        <v>60</v>
      </c>
      <c r="L25" s="1" t="s">
        <v>686</v>
      </c>
      <c r="M25" s="1">
        <v>1000</v>
      </c>
      <c r="N25" s="6" t="s">
        <v>678</v>
      </c>
      <c r="O25" s="7"/>
      <c r="P25" s="9">
        <f>IF(الصنف[[#This Row],[وحده المكونات]]="جرام",1,0)</f>
        <v>1</v>
      </c>
      <c r="S25" s="1" t="s">
        <v>944</v>
      </c>
      <c r="T25" s="1">
        <v>22</v>
      </c>
    </row>
    <row r="26" spans="2:20" ht="20.100000000000001" customHeight="1" x14ac:dyDescent="0.2">
      <c r="B26" s="4">
        <v>24</v>
      </c>
      <c r="C26" s="4">
        <v>1101024</v>
      </c>
      <c r="D26" s="2" t="s">
        <v>223</v>
      </c>
      <c r="E26" s="2" t="s">
        <v>223</v>
      </c>
      <c r="G26" s="1" t="str">
        <f>LEFT(الصنف[[#This Row],[تصنيف فرعي (2)]],4)</f>
        <v>1101</v>
      </c>
      <c r="H26" s="5" t="s">
        <v>982</v>
      </c>
      <c r="I26" s="5" t="str">
        <f>LEFT(الصنف[[#This Row],[تصنيف فرعي (1)]],2)</f>
        <v>11</v>
      </c>
      <c r="J26" s="1" t="s">
        <v>672</v>
      </c>
      <c r="K26" s="1">
        <f>VLOOKUP(الصنف[[#This Row],[وحده القياس]],$S$4:$T$67,2,TRUE)</f>
        <v>60</v>
      </c>
      <c r="L26" s="1" t="s">
        <v>686</v>
      </c>
      <c r="M26" s="1">
        <v>1000</v>
      </c>
      <c r="N26" s="6" t="s">
        <v>678</v>
      </c>
      <c r="O26" s="7"/>
      <c r="P26" s="9">
        <f>IF(الصنف[[#This Row],[وحده المكونات]]="جرام",1,0)</f>
        <v>1</v>
      </c>
      <c r="S26" s="1" t="s">
        <v>384</v>
      </c>
      <c r="T26" s="1">
        <v>23</v>
      </c>
    </row>
    <row r="27" spans="2:20" ht="20.100000000000001" customHeight="1" x14ac:dyDescent="0.2">
      <c r="B27" s="4">
        <v>25</v>
      </c>
      <c r="C27" s="4">
        <v>1101025</v>
      </c>
      <c r="D27" s="2" t="s">
        <v>226</v>
      </c>
      <c r="E27" s="2" t="s">
        <v>226</v>
      </c>
      <c r="G27" s="1" t="str">
        <f>LEFT(الصنف[[#This Row],[تصنيف فرعي (2)]],4)</f>
        <v>1101</v>
      </c>
      <c r="H27" s="5" t="s">
        <v>982</v>
      </c>
      <c r="I27" s="5" t="str">
        <f>LEFT(الصنف[[#This Row],[تصنيف فرعي (1)]],2)</f>
        <v>11</v>
      </c>
      <c r="J27" s="1" t="s">
        <v>672</v>
      </c>
      <c r="K27" s="1">
        <f>VLOOKUP(الصنف[[#This Row],[وحده القياس]],$S$4:$T$67,2,TRUE)</f>
        <v>60</v>
      </c>
      <c r="L27" s="1" t="s">
        <v>686</v>
      </c>
      <c r="M27" s="1">
        <v>1000</v>
      </c>
      <c r="N27" s="6" t="s">
        <v>678</v>
      </c>
      <c r="O27" s="7"/>
      <c r="P27" s="9">
        <f>IF(الصنف[[#This Row],[وحده المكونات]]="جرام",1,0)</f>
        <v>1</v>
      </c>
      <c r="S27" s="1" t="s">
        <v>691</v>
      </c>
      <c r="T27" s="1">
        <v>24</v>
      </c>
    </row>
    <row r="28" spans="2:20" ht="20.100000000000001" customHeight="1" x14ac:dyDescent="0.2">
      <c r="B28" s="4">
        <v>26</v>
      </c>
      <c r="C28" s="4">
        <v>1101026</v>
      </c>
      <c r="D28" s="2" t="s">
        <v>227</v>
      </c>
      <c r="E28" s="2" t="s">
        <v>227</v>
      </c>
      <c r="G28" s="1" t="str">
        <f>LEFT(الصنف[[#This Row],[تصنيف فرعي (2)]],4)</f>
        <v>1101</v>
      </c>
      <c r="H28" s="5" t="s">
        <v>982</v>
      </c>
      <c r="I28" s="5" t="str">
        <f>LEFT(الصنف[[#This Row],[تصنيف فرعي (1)]],2)</f>
        <v>11</v>
      </c>
      <c r="J28" s="1" t="s">
        <v>672</v>
      </c>
      <c r="K28" s="1">
        <f>VLOOKUP(الصنف[[#This Row],[وحده القياس]],$S$4:$T$67,2,TRUE)</f>
        <v>60</v>
      </c>
      <c r="L28" s="1" t="s">
        <v>686</v>
      </c>
      <c r="M28" s="1">
        <v>1000</v>
      </c>
      <c r="N28" s="6" t="s">
        <v>678</v>
      </c>
      <c r="O28" s="7"/>
      <c r="P28" s="9">
        <f>IF(الصنف[[#This Row],[وحده المكونات]]="جرام",1,0)</f>
        <v>1</v>
      </c>
      <c r="S28" s="1" t="s">
        <v>690</v>
      </c>
      <c r="T28" s="1">
        <v>25</v>
      </c>
    </row>
    <row r="29" spans="2:20" ht="20.100000000000001" customHeight="1" x14ac:dyDescent="0.2">
      <c r="B29" s="4">
        <v>27</v>
      </c>
      <c r="C29" s="4">
        <v>1101027</v>
      </c>
      <c r="D29" s="2" t="s">
        <v>247</v>
      </c>
      <c r="E29" s="2" t="s">
        <v>247</v>
      </c>
      <c r="G29" s="1" t="str">
        <f>LEFT(الصنف[[#This Row],[تصنيف فرعي (2)]],4)</f>
        <v>1101</v>
      </c>
      <c r="H29" s="5" t="s">
        <v>982</v>
      </c>
      <c r="I29" s="5" t="str">
        <f>LEFT(الصنف[[#This Row],[تصنيف فرعي (1)]],2)</f>
        <v>11</v>
      </c>
      <c r="J29" s="1" t="s">
        <v>672</v>
      </c>
      <c r="K29" s="1">
        <f>VLOOKUP(الصنف[[#This Row],[وحده القياس]],$S$4:$T$67,2,TRUE)</f>
        <v>60</v>
      </c>
      <c r="L29" s="1" t="s">
        <v>686</v>
      </c>
      <c r="M29" s="1">
        <v>1000</v>
      </c>
      <c r="N29" s="6" t="s">
        <v>678</v>
      </c>
      <c r="O29" s="7"/>
      <c r="P29" s="9">
        <f>IF(الصنف[[#This Row],[وحده المكونات]]="جرام",1,0)</f>
        <v>1</v>
      </c>
      <c r="S29" s="1" t="s">
        <v>692</v>
      </c>
      <c r="T29" s="1">
        <v>26</v>
      </c>
    </row>
    <row r="30" spans="2:20" ht="20.100000000000001" customHeight="1" x14ac:dyDescent="0.2">
      <c r="B30" s="4">
        <v>28</v>
      </c>
      <c r="C30" s="4">
        <v>1101028</v>
      </c>
      <c r="D30" s="2" t="s">
        <v>216</v>
      </c>
      <c r="E30" s="2" t="s">
        <v>216</v>
      </c>
      <c r="G30" s="1" t="str">
        <f>LEFT(الصنف[[#This Row],[تصنيف فرعي (2)]],4)</f>
        <v>1101</v>
      </c>
      <c r="H30" s="5" t="s">
        <v>982</v>
      </c>
      <c r="I30" s="5" t="str">
        <f>LEFT(الصنف[[#This Row],[تصنيف فرعي (1)]],2)</f>
        <v>11</v>
      </c>
      <c r="J30" s="1" t="s">
        <v>672</v>
      </c>
      <c r="K30" s="1">
        <f>VLOOKUP(الصنف[[#This Row],[وحده القياس]],$S$4:$T$67,2,TRUE)</f>
        <v>60</v>
      </c>
      <c r="L30" s="1" t="s">
        <v>686</v>
      </c>
      <c r="M30" s="1">
        <v>1000</v>
      </c>
      <c r="N30" s="6" t="s">
        <v>678</v>
      </c>
      <c r="O30" s="7"/>
      <c r="P30" s="9">
        <f>IF(الصنف[[#This Row],[وحده المكونات]]="جرام",1,0)</f>
        <v>1</v>
      </c>
      <c r="S30" s="1" t="s">
        <v>883</v>
      </c>
      <c r="T30" s="1">
        <v>27</v>
      </c>
    </row>
    <row r="31" spans="2:20" ht="20.100000000000001" customHeight="1" x14ac:dyDescent="0.2">
      <c r="B31" s="4">
        <v>29</v>
      </c>
      <c r="C31" s="4">
        <v>1101029</v>
      </c>
      <c r="D31" s="2" t="s">
        <v>556</v>
      </c>
      <c r="E31" s="2" t="s">
        <v>556</v>
      </c>
      <c r="G31" s="1" t="str">
        <f>LEFT(الصنف[[#This Row],[تصنيف فرعي (2)]],4)</f>
        <v>1101</v>
      </c>
      <c r="H31" s="5" t="s">
        <v>982</v>
      </c>
      <c r="I31" s="5" t="str">
        <f>LEFT(الصنف[[#This Row],[تصنيف فرعي (1)]],2)</f>
        <v>11</v>
      </c>
      <c r="J31" s="1" t="s">
        <v>672</v>
      </c>
      <c r="K31" s="1">
        <f>VLOOKUP(الصنف[[#This Row],[وحده القياس]],$S$4:$T$67,2,TRUE)</f>
        <v>43</v>
      </c>
      <c r="L31" s="1" t="s">
        <v>742</v>
      </c>
      <c r="M31" s="1">
        <v>1</v>
      </c>
      <c r="N31" s="6" t="s">
        <v>742</v>
      </c>
      <c r="O31" s="7"/>
      <c r="P31" s="9">
        <f>IF(الصنف[[#This Row],[وحده المكونات]]="جرام",1,0)</f>
        <v>0</v>
      </c>
      <c r="S31" s="1" t="s">
        <v>947</v>
      </c>
      <c r="T31" s="1">
        <v>28</v>
      </c>
    </row>
    <row r="32" spans="2:20" ht="20.100000000000001" customHeight="1" x14ac:dyDescent="0.2">
      <c r="B32" s="4">
        <v>30</v>
      </c>
      <c r="C32" s="4">
        <v>1101030</v>
      </c>
      <c r="D32" s="2" t="s">
        <v>557</v>
      </c>
      <c r="E32" s="2" t="s">
        <v>557</v>
      </c>
      <c r="G32" s="1" t="str">
        <f>LEFT(الصنف[[#This Row],[تصنيف فرعي (2)]],4)</f>
        <v>1101</v>
      </c>
      <c r="H32" s="5" t="s">
        <v>982</v>
      </c>
      <c r="I32" s="5" t="str">
        <f>LEFT(الصنف[[#This Row],[تصنيف فرعي (1)]],2)</f>
        <v>11</v>
      </c>
      <c r="J32" s="1" t="s">
        <v>672</v>
      </c>
      <c r="K32" s="1">
        <f>VLOOKUP(الصنف[[#This Row],[وحده القياس]],$S$4:$T$67,2,TRUE)</f>
        <v>60</v>
      </c>
      <c r="L32" s="1" t="s">
        <v>686</v>
      </c>
      <c r="M32" s="1">
        <v>1000</v>
      </c>
      <c r="N32" s="6" t="s">
        <v>678</v>
      </c>
      <c r="O32" s="7"/>
      <c r="P32" s="9">
        <f>IF(الصنف[[#This Row],[وحده المكونات]]="جرام",1,0)</f>
        <v>1</v>
      </c>
      <c r="S32" s="1" t="s">
        <v>390</v>
      </c>
      <c r="T32" s="1">
        <v>29</v>
      </c>
    </row>
    <row r="33" spans="2:20" ht="20.100000000000001" customHeight="1" x14ac:dyDescent="0.2">
      <c r="B33" s="4">
        <v>31</v>
      </c>
      <c r="C33" s="4">
        <v>1101031</v>
      </c>
      <c r="D33" s="2" t="s">
        <v>217</v>
      </c>
      <c r="E33" s="2" t="s">
        <v>217</v>
      </c>
      <c r="G33" s="1" t="str">
        <f>LEFT(الصنف[[#This Row],[تصنيف فرعي (2)]],4)</f>
        <v>1101</v>
      </c>
      <c r="H33" s="5" t="s">
        <v>982</v>
      </c>
      <c r="I33" s="5" t="str">
        <f>LEFT(الصنف[[#This Row],[تصنيف فرعي (1)]],2)</f>
        <v>11</v>
      </c>
      <c r="J33" s="1" t="s">
        <v>672</v>
      </c>
      <c r="K33" s="1">
        <f>VLOOKUP(الصنف[[#This Row],[وحده القياس]],$S$4:$T$67,2,TRUE)</f>
        <v>60</v>
      </c>
      <c r="L33" s="1" t="s">
        <v>686</v>
      </c>
      <c r="M33" s="1">
        <v>1000</v>
      </c>
      <c r="N33" s="6" t="s">
        <v>678</v>
      </c>
      <c r="O33" s="7"/>
      <c r="P33" s="9">
        <f>IF(الصنف[[#This Row],[وحده المكونات]]="جرام",1,0)</f>
        <v>1</v>
      </c>
      <c r="S33" s="1" t="s">
        <v>920</v>
      </c>
      <c r="T33" s="1">
        <v>30</v>
      </c>
    </row>
    <row r="34" spans="2:20" ht="20.100000000000001" customHeight="1" x14ac:dyDescent="0.2">
      <c r="B34" s="4">
        <v>32</v>
      </c>
      <c r="C34" s="4">
        <v>1101032</v>
      </c>
      <c r="D34" s="2" t="s">
        <v>235</v>
      </c>
      <c r="E34" s="2" t="s">
        <v>925</v>
      </c>
      <c r="G34" s="1" t="str">
        <f>LEFT(الصنف[[#This Row],[تصنيف فرعي (2)]],4)</f>
        <v>1101</v>
      </c>
      <c r="H34" s="5" t="s">
        <v>982</v>
      </c>
      <c r="I34" s="5" t="str">
        <f>LEFT(الصنف[[#This Row],[تصنيف فرعي (1)]],2)</f>
        <v>11</v>
      </c>
      <c r="J34" s="1" t="s">
        <v>672</v>
      </c>
      <c r="K34" s="1">
        <f>VLOOKUP(الصنف[[#This Row],[وحده القياس]],$S$4:$T$67,2,TRUE)</f>
        <v>44</v>
      </c>
      <c r="L34" s="1" t="s">
        <v>926</v>
      </c>
      <c r="M34" s="1">
        <v>500</v>
      </c>
      <c r="N34" s="6" t="s">
        <v>678</v>
      </c>
      <c r="O34" s="7"/>
      <c r="P34" s="9">
        <f>IF(الصنف[[#This Row],[وحده المكونات]]="جرام",1,0)</f>
        <v>1</v>
      </c>
      <c r="S34" s="1" t="s">
        <v>918</v>
      </c>
      <c r="T34" s="1">
        <v>31</v>
      </c>
    </row>
    <row r="35" spans="2:20" ht="20.100000000000001" customHeight="1" x14ac:dyDescent="0.2">
      <c r="B35" s="4">
        <v>33</v>
      </c>
      <c r="C35" s="4">
        <v>1102001</v>
      </c>
      <c r="D35" s="2" t="s">
        <v>498</v>
      </c>
      <c r="E35" s="2" t="s">
        <v>866</v>
      </c>
      <c r="G35" s="1" t="str">
        <f>LEFT(الصنف[[#This Row],[تصنيف فرعي (2)]],4)</f>
        <v>1102</v>
      </c>
      <c r="H35" s="5" t="s">
        <v>983</v>
      </c>
      <c r="I35" s="5" t="str">
        <f>LEFT(الصنف[[#This Row],[تصنيف فرعي (1)]],2)</f>
        <v>11</v>
      </c>
      <c r="J35" s="1" t="s">
        <v>672</v>
      </c>
      <c r="K35" s="1">
        <f>VLOOKUP(الصنف[[#This Row],[وحده القياس]],$S$4:$T$67,2,TRUE)</f>
        <v>60</v>
      </c>
      <c r="L35" s="1" t="s">
        <v>686</v>
      </c>
      <c r="M35" s="1">
        <v>1000</v>
      </c>
      <c r="N35" s="6" t="s">
        <v>678</v>
      </c>
      <c r="O35" s="7"/>
      <c r="P35" s="9">
        <f>IF(الصنف[[#This Row],[وحده المكونات]]="جرام",1,0)</f>
        <v>1</v>
      </c>
      <c r="S35" s="1" t="s">
        <v>389</v>
      </c>
      <c r="T35" s="1">
        <v>32</v>
      </c>
    </row>
    <row r="36" spans="2:20" ht="20.100000000000001" customHeight="1" x14ac:dyDescent="0.2">
      <c r="B36" s="4">
        <v>34</v>
      </c>
      <c r="C36" s="4">
        <v>1102002</v>
      </c>
      <c r="D36" s="2" t="s">
        <v>499</v>
      </c>
      <c r="E36" s="2" t="s">
        <v>865</v>
      </c>
      <c r="G36" s="1" t="str">
        <f>LEFT(الصنف[[#This Row],[تصنيف فرعي (2)]],4)</f>
        <v>1102</v>
      </c>
      <c r="H36" s="5" t="s">
        <v>983</v>
      </c>
      <c r="I36" s="5" t="str">
        <f>LEFT(الصنف[[#This Row],[تصنيف فرعي (1)]],2)</f>
        <v>11</v>
      </c>
      <c r="J36" s="1" t="s">
        <v>672</v>
      </c>
      <c r="K36" s="1">
        <f>VLOOKUP(الصنف[[#This Row],[وحده القياس]],$S$4:$T$67,2,TRUE)</f>
        <v>60</v>
      </c>
      <c r="L36" s="1" t="s">
        <v>686</v>
      </c>
      <c r="M36" s="1">
        <v>1000</v>
      </c>
      <c r="N36" s="6" t="s">
        <v>678</v>
      </c>
      <c r="O36" s="7"/>
      <c r="P36" s="9">
        <f>IF(الصنف[[#This Row],[وحده المكونات]]="جرام",1,0)</f>
        <v>1</v>
      </c>
      <c r="S36" s="1" t="s">
        <v>382</v>
      </c>
      <c r="T36" s="1">
        <v>33</v>
      </c>
    </row>
    <row r="37" spans="2:20" ht="20.100000000000001" customHeight="1" x14ac:dyDescent="0.2">
      <c r="B37" s="4">
        <v>35</v>
      </c>
      <c r="C37" s="4">
        <v>1102003</v>
      </c>
      <c r="D37" s="2" t="s">
        <v>503</v>
      </c>
      <c r="E37" s="2" t="s">
        <v>503</v>
      </c>
      <c r="G37" s="1" t="str">
        <f>LEFT(الصنف[[#This Row],[تصنيف فرعي (2)]],4)</f>
        <v>1102</v>
      </c>
      <c r="H37" s="5" t="s">
        <v>983</v>
      </c>
      <c r="I37" s="5" t="str">
        <f>LEFT(الصنف[[#This Row],[تصنيف فرعي (1)]],2)</f>
        <v>11</v>
      </c>
      <c r="J37" s="1" t="s">
        <v>672</v>
      </c>
      <c r="K37" s="1">
        <f>VLOOKUP(الصنف[[#This Row],[وحده القياس]],$S$4:$T$67,2,TRUE)</f>
        <v>60</v>
      </c>
      <c r="L37" s="1" t="s">
        <v>686</v>
      </c>
      <c r="M37" s="1">
        <v>1000</v>
      </c>
      <c r="N37" s="6" t="s">
        <v>678</v>
      </c>
      <c r="O37" s="7">
        <v>170</v>
      </c>
      <c r="P37" s="9">
        <f>IF(الصنف[[#This Row],[وحده المكونات]]="جرام",1,0)</f>
        <v>1</v>
      </c>
      <c r="S37" s="1" t="s">
        <v>945</v>
      </c>
      <c r="T37" s="1">
        <v>34</v>
      </c>
    </row>
    <row r="38" spans="2:20" ht="20.100000000000001" customHeight="1" x14ac:dyDescent="0.2">
      <c r="B38" s="4">
        <v>36</v>
      </c>
      <c r="C38" s="4">
        <v>1102004</v>
      </c>
      <c r="D38" s="2" t="s">
        <v>512</v>
      </c>
      <c r="E38" s="2" t="s">
        <v>512</v>
      </c>
      <c r="G38" s="1" t="str">
        <f>LEFT(الصنف[[#This Row],[تصنيف فرعي (2)]],4)</f>
        <v>1102</v>
      </c>
      <c r="H38" s="5" t="s">
        <v>983</v>
      </c>
      <c r="I38" s="5" t="str">
        <f>LEFT(الصنف[[#This Row],[تصنيف فرعي (1)]],2)</f>
        <v>11</v>
      </c>
      <c r="J38" s="1" t="s">
        <v>672</v>
      </c>
      <c r="K38" s="1">
        <f>VLOOKUP(الصنف[[#This Row],[وحده القياس]],$S$4:$T$67,2,TRUE)</f>
        <v>60</v>
      </c>
      <c r="L38" s="1" t="s">
        <v>686</v>
      </c>
      <c r="M38" s="1">
        <v>1000</v>
      </c>
      <c r="N38" s="6" t="s">
        <v>678</v>
      </c>
      <c r="O38" s="7"/>
      <c r="P38" s="9">
        <f>IF(الصنف[[#This Row],[وحده المكونات]]="جرام",1,0)</f>
        <v>1</v>
      </c>
      <c r="S38" s="1" t="s">
        <v>759</v>
      </c>
      <c r="T38" s="1">
        <v>35</v>
      </c>
    </row>
    <row r="39" spans="2:20" ht="20.100000000000001" customHeight="1" x14ac:dyDescent="0.2">
      <c r="B39" s="4">
        <v>37</v>
      </c>
      <c r="C39" s="4">
        <v>1102005</v>
      </c>
      <c r="D39" s="2" t="s">
        <v>515</v>
      </c>
      <c r="E39" s="2" t="s">
        <v>515</v>
      </c>
      <c r="G39" s="1" t="str">
        <f>LEFT(الصنف[[#This Row],[تصنيف فرعي (2)]],4)</f>
        <v>1102</v>
      </c>
      <c r="H39" s="5" t="s">
        <v>983</v>
      </c>
      <c r="I39" s="5" t="str">
        <f>LEFT(الصنف[[#This Row],[تصنيف فرعي (1)]],2)</f>
        <v>11</v>
      </c>
      <c r="J39" s="1" t="s">
        <v>672</v>
      </c>
      <c r="K39" s="1">
        <f>VLOOKUP(الصنف[[#This Row],[وحده القياس]],$S$4:$T$67,2,TRUE)</f>
        <v>60</v>
      </c>
      <c r="L39" s="1" t="s">
        <v>686</v>
      </c>
      <c r="M39" s="1">
        <v>1000</v>
      </c>
      <c r="N39" s="6" t="s">
        <v>678</v>
      </c>
      <c r="O39" s="7"/>
      <c r="P39" s="9">
        <f>IF(الصنف[[#This Row],[وحده المكونات]]="جرام",1,0)</f>
        <v>1</v>
      </c>
      <c r="S39" s="1" t="s">
        <v>904</v>
      </c>
      <c r="T39" s="1">
        <v>36</v>
      </c>
    </row>
    <row r="40" spans="2:20" ht="20.100000000000001" customHeight="1" x14ac:dyDescent="0.2">
      <c r="B40" s="4">
        <v>38</v>
      </c>
      <c r="C40" s="4">
        <v>1102006</v>
      </c>
      <c r="D40" s="2" t="s">
        <v>214</v>
      </c>
      <c r="E40" s="2" t="s">
        <v>214</v>
      </c>
      <c r="G40" s="1" t="str">
        <f>LEFT(الصنف[[#This Row],[تصنيف فرعي (2)]],4)</f>
        <v>1102</v>
      </c>
      <c r="H40" s="5" t="s">
        <v>983</v>
      </c>
      <c r="I40" s="5" t="str">
        <f>LEFT(الصنف[[#This Row],[تصنيف فرعي (1)]],2)</f>
        <v>11</v>
      </c>
      <c r="J40" s="1" t="s">
        <v>672</v>
      </c>
      <c r="K40" s="1">
        <f>VLOOKUP(الصنف[[#This Row],[وحده القياس]],$S$4:$T$67,2,TRUE)</f>
        <v>60</v>
      </c>
      <c r="L40" s="1" t="s">
        <v>686</v>
      </c>
      <c r="M40" s="1">
        <v>1000</v>
      </c>
      <c r="N40" s="6" t="s">
        <v>678</v>
      </c>
      <c r="O40" s="7"/>
      <c r="P40" s="9">
        <f>IF(الصنف[[#This Row],[وحده المكونات]]="جرام",1,0)</f>
        <v>1</v>
      </c>
      <c r="S40" s="1" t="s">
        <v>779</v>
      </c>
      <c r="T40" s="1">
        <v>37</v>
      </c>
    </row>
    <row r="41" spans="2:20" ht="20.100000000000001" customHeight="1" x14ac:dyDescent="0.2">
      <c r="B41" s="4">
        <v>39</v>
      </c>
      <c r="C41" s="4">
        <v>1102007</v>
      </c>
      <c r="D41" s="2" t="s">
        <v>844</v>
      </c>
      <c r="E41" s="2" t="s">
        <v>519</v>
      </c>
      <c r="G41" s="1" t="str">
        <f>LEFT(الصنف[[#This Row],[تصنيف فرعي (2)]],4)</f>
        <v>1102</v>
      </c>
      <c r="H41" s="5" t="s">
        <v>983</v>
      </c>
      <c r="I41" s="5" t="str">
        <f>LEFT(الصنف[[#This Row],[تصنيف فرعي (1)]],2)</f>
        <v>11</v>
      </c>
      <c r="J41" s="1" t="s">
        <v>672</v>
      </c>
      <c r="K41" s="1">
        <f>VLOOKUP(الصنف[[#This Row],[وحده القياس]],$S$4:$T$67,2,TRUE)</f>
        <v>60</v>
      </c>
      <c r="L41" s="1" t="s">
        <v>686</v>
      </c>
      <c r="M41" s="1">
        <v>1000</v>
      </c>
      <c r="N41" s="6" t="s">
        <v>678</v>
      </c>
      <c r="O41" s="7">
        <v>300</v>
      </c>
      <c r="P41" s="9">
        <f>IF(الصنف[[#This Row],[وحده المكونات]]="جرام",1,0)</f>
        <v>1</v>
      </c>
      <c r="S41" s="1" t="s">
        <v>755</v>
      </c>
      <c r="T41" s="1">
        <v>38</v>
      </c>
    </row>
    <row r="42" spans="2:20" ht="20.100000000000001" customHeight="1" x14ac:dyDescent="0.2">
      <c r="B42" s="4">
        <v>40</v>
      </c>
      <c r="C42" s="4">
        <v>1102008</v>
      </c>
      <c r="D42" s="2" t="s">
        <v>845</v>
      </c>
      <c r="E42" s="2" t="s">
        <v>524</v>
      </c>
      <c r="G42" s="1" t="str">
        <f>LEFT(الصنف[[#This Row],[تصنيف فرعي (2)]],4)</f>
        <v>1102</v>
      </c>
      <c r="H42" s="5" t="s">
        <v>983</v>
      </c>
      <c r="I42" s="5" t="str">
        <f>LEFT(الصنف[[#This Row],[تصنيف فرعي (1)]],2)</f>
        <v>11</v>
      </c>
      <c r="J42" s="1" t="s">
        <v>672</v>
      </c>
      <c r="K42" s="1">
        <f>VLOOKUP(الصنف[[#This Row],[وحده القياس]],$S$4:$T$67,2,TRUE)</f>
        <v>60</v>
      </c>
      <c r="L42" s="1" t="s">
        <v>686</v>
      </c>
      <c r="M42" s="1">
        <v>1000</v>
      </c>
      <c r="N42" s="6" t="s">
        <v>678</v>
      </c>
      <c r="O42" s="7">
        <v>360</v>
      </c>
      <c r="P42" s="9">
        <f>IF(الصنف[[#This Row],[وحده المكونات]]="جرام",1,0)</f>
        <v>1</v>
      </c>
      <c r="S42" s="1" t="s">
        <v>886</v>
      </c>
      <c r="T42" s="1">
        <v>39</v>
      </c>
    </row>
    <row r="43" spans="2:20" ht="20.100000000000001" customHeight="1" x14ac:dyDescent="0.2">
      <c r="B43" s="4">
        <v>41</v>
      </c>
      <c r="C43" s="4">
        <v>1103001</v>
      </c>
      <c r="D43" s="2" t="s">
        <v>219</v>
      </c>
      <c r="E43" s="2" t="s">
        <v>219</v>
      </c>
      <c r="G43" s="1" t="str">
        <f>LEFT(الصنف[[#This Row],[تصنيف فرعي (2)]],4)</f>
        <v>1103</v>
      </c>
      <c r="H43" s="5" t="s">
        <v>1047</v>
      </c>
      <c r="I43" s="5" t="str">
        <f>LEFT(الصنف[[#This Row],[تصنيف فرعي (1)]],2)</f>
        <v>11</v>
      </c>
      <c r="J43" s="1" t="s">
        <v>672</v>
      </c>
      <c r="K43" s="1">
        <f>VLOOKUP(الصنف[[#This Row],[وحده القياس]],$S$4:$T$67,2,TRUE)</f>
        <v>60</v>
      </c>
      <c r="L43" s="1" t="s">
        <v>686</v>
      </c>
      <c r="M43" s="1">
        <v>1000</v>
      </c>
      <c r="N43" s="6" t="s">
        <v>678</v>
      </c>
      <c r="O43" s="7">
        <v>640</v>
      </c>
      <c r="P43" s="9">
        <f>IF(الصنف[[#This Row],[وحده المكونات]]="جرام",1,0)</f>
        <v>1</v>
      </c>
      <c r="S43" s="1" t="s">
        <v>952</v>
      </c>
      <c r="T43" s="1">
        <v>40</v>
      </c>
    </row>
    <row r="44" spans="2:20" ht="20.100000000000001" customHeight="1" x14ac:dyDescent="0.2">
      <c r="B44" s="4">
        <v>42</v>
      </c>
      <c r="C44" s="4">
        <v>1103002</v>
      </c>
      <c r="D44" s="2" t="s">
        <v>528</v>
      </c>
      <c r="E44" s="2" t="s">
        <v>528</v>
      </c>
      <c r="G44" s="1" t="str">
        <f>LEFT(الصنف[[#This Row],[تصنيف فرعي (2)]],4)</f>
        <v>1103</v>
      </c>
      <c r="H44" s="5" t="s">
        <v>1047</v>
      </c>
      <c r="I44" s="5" t="str">
        <f>LEFT(الصنف[[#This Row],[تصنيف فرعي (1)]],2)</f>
        <v>11</v>
      </c>
      <c r="J44" s="1" t="s">
        <v>672</v>
      </c>
      <c r="K44" s="1">
        <f>VLOOKUP(الصنف[[#This Row],[وحده القياس]],$S$4:$T$67,2,TRUE)</f>
        <v>60</v>
      </c>
      <c r="L44" s="1" t="s">
        <v>686</v>
      </c>
      <c r="M44" s="1">
        <v>1000</v>
      </c>
      <c r="N44" s="6" t="s">
        <v>678</v>
      </c>
      <c r="O44" s="7"/>
      <c r="P44" s="9">
        <f>IF(الصنف[[#This Row],[وحده المكونات]]="جرام",1,0)</f>
        <v>1</v>
      </c>
      <c r="S44" s="1" t="s">
        <v>745</v>
      </c>
      <c r="T44" s="1">
        <v>41</v>
      </c>
    </row>
    <row r="45" spans="2:20" ht="20.100000000000001" customHeight="1" x14ac:dyDescent="0.2">
      <c r="B45" s="4">
        <v>43</v>
      </c>
      <c r="C45" s="4">
        <v>1103003</v>
      </c>
      <c r="D45" s="2" t="s">
        <v>218</v>
      </c>
      <c r="E45" s="2" t="s">
        <v>218</v>
      </c>
      <c r="G45" s="1" t="str">
        <f>LEFT(الصنف[[#This Row],[تصنيف فرعي (2)]],4)</f>
        <v>1103</v>
      </c>
      <c r="H45" s="5" t="s">
        <v>1047</v>
      </c>
      <c r="I45" s="5" t="str">
        <f>LEFT(الصنف[[#This Row],[تصنيف فرعي (1)]],2)</f>
        <v>11</v>
      </c>
      <c r="J45" s="1" t="s">
        <v>672</v>
      </c>
      <c r="K45" s="1">
        <f>VLOOKUP(الصنف[[#This Row],[وحده القياس]],$S$4:$T$67,2,TRUE)</f>
        <v>60</v>
      </c>
      <c r="L45" s="1" t="s">
        <v>686</v>
      </c>
      <c r="M45" s="1">
        <v>1000</v>
      </c>
      <c r="N45" s="6" t="s">
        <v>678</v>
      </c>
      <c r="O45" s="7">
        <v>640</v>
      </c>
      <c r="P45" s="9">
        <f>IF(الصنف[[#This Row],[وحده المكونات]]="جرام",1,0)</f>
        <v>1</v>
      </c>
      <c r="S45" s="1" t="s">
        <v>917</v>
      </c>
      <c r="T45" s="1">
        <v>42</v>
      </c>
    </row>
    <row r="46" spans="2:20" ht="20.100000000000001" customHeight="1" x14ac:dyDescent="0.2">
      <c r="B46" s="4">
        <v>44</v>
      </c>
      <c r="C46" s="4">
        <v>1103004</v>
      </c>
      <c r="D46" s="2" t="s">
        <v>230</v>
      </c>
      <c r="E46" s="2" t="s">
        <v>230</v>
      </c>
      <c r="G46" s="1" t="str">
        <f>LEFT(الصنف[[#This Row],[تصنيف فرعي (2)]],4)</f>
        <v>1103</v>
      </c>
      <c r="H46" s="5" t="s">
        <v>1047</v>
      </c>
      <c r="I46" s="5" t="str">
        <f>LEFT(الصنف[[#This Row],[تصنيف فرعي (1)]],2)</f>
        <v>11</v>
      </c>
      <c r="J46" s="1" t="s">
        <v>672</v>
      </c>
      <c r="K46" s="1">
        <f>VLOOKUP(الصنف[[#This Row],[وحده القياس]],$S$4:$T$67,2,TRUE)</f>
        <v>60</v>
      </c>
      <c r="L46" s="1" t="s">
        <v>686</v>
      </c>
      <c r="M46" s="1">
        <v>1000</v>
      </c>
      <c r="N46" s="6" t="s">
        <v>678</v>
      </c>
      <c r="O46" s="7">
        <v>570</v>
      </c>
      <c r="P46" s="9">
        <f>IF(الصنف[[#This Row],[وحده المكونات]]="جرام",1,0)</f>
        <v>1</v>
      </c>
      <c r="S46" s="1" t="s">
        <v>742</v>
      </c>
      <c r="T46" s="1">
        <v>43</v>
      </c>
    </row>
    <row r="47" spans="2:20" ht="20.100000000000001" customHeight="1" x14ac:dyDescent="0.2">
      <c r="B47" s="4">
        <v>45</v>
      </c>
      <c r="C47" s="4">
        <v>1103005</v>
      </c>
      <c r="D47" s="2" t="s">
        <v>244</v>
      </c>
      <c r="E47" s="2" t="s">
        <v>864</v>
      </c>
      <c r="G47" s="1" t="str">
        <f>LEFT(الصنف[[#This Row],[تصنيف فرعي (2)]],4)</f>
        <v>1103</v>
      </c>
      <c r="H47" s="5" t="s">
        <v>1047</v>
      </c>
      <c r="I47" s="5" t="str">
        <f>LEFT(الصنف[[#This Row],[تصنيف فرعي (1)]],2)</f>
        <v>11</v>
      </c>
      <c r="J47" s="1" t="s">
        <v>672</v>
      </c>
      <c r="K47" s="1">
        <f>VLOOKUP(الصنف[[#This Row],[وحده القياس]],$S$4:$T$67,2,TRUE)</f>
        <v>31</v>
      </c>
      <c r="L47" s="1" t="s">
        <v>918</v>
      </c>
      <c r="M47" s="1">
        <v>5</v>
      </c>
      <c r="N47" s="6" t="s">
        <v>742</v>
      </c>
      <c r="O47" s="7">
        <v>285</v>
      </c>
      <c r="P47" s="9">
        <f>IF(الصنف[[#This Row],[وحده المكونات]]="جرام",1,0)</f>
        <v>0</v>
      </c>
      <c r="S47" s="1" t="s">
        <v>926</v>
      </c>
      <c r="T47" s="1">
        <v>44</v>
      </c>
    </row>
    <row r="48" spans="2:20" ht="20.100000000000001" customHeight="1" x14ac:dyDescent="0.2">
      <c r="B48" s="4">
        <v>46</v>
      </c>
      <c r="C48" s="4">
        <v>1104001</v>
      </c>
      <c r="D48" s="2" t="s">
        <v>489</v>
      </c>
      <c r="E48" s="2" t="s">
        <v>867</v>
      </c>
      <c r="G48" s="1" t="str">
        <f>LEFT(الصنف[[#This Row],[تصنيف فرعي (2)]],4)</f>
        <v>1104</v>
      </c>
      <c r="H48" s="5" t="s">
        <v>985</v>
      </c>
      <c r="I48" s="5" t="str">
        <f>LEFT(الصنف[[#This Row],[تصنيف فرعي (1)]],2)</f>
        <v>11</v>
      </c>
      <c r="J48" s="1" t="s">
        <v>672</v>
      </c>
      <c r="K48" s="1">
        <f>VLOOKUP(الصنف[[#This Row],[وحده القياس]],$S$4:$T$67,2,TRUE)</f>
        <v>43</v>
      </c>
      <c r="L48" s="1" t="s">
        <v>742</v>
      </c>
      <c r="M48" s="1">
        <v>1</v>
      </c>
      <c r="N48" s="6" t="s">
        <v>742</v>
      </c>
      <c r="O48" s="7"/>
      <c r="P48" s="9">
        <f>IF(الصنف[[#This Row],[وحده المكونات]]="جرام",1,0)</f>
        <v>0</v>
      </c>
      <c r="S48" s="1" t="s">
        <v>387</v>
      </c>
      <c r="T48" s="1">
        <v>45</v>
      </c>
    </row>
    <row r="49" spans="2:20" ht="20.100000000000001" customHeight="1" x14ac:dyDescent="0.2">
      <c r="B49" s="4">
        <v>47</v>
      </c>
      <c r="C49" s="4">
        <v>1104002</v>
      </c>
      <c r="D49" s="2" t="s">
        <v>316</v>
      </c>
      <c r="E49" s="2" t="s">
        <v>868</v>
      </c>
      <c r="G49" s="1" t="str">
        <f>LEFT(الصنف[[#This Row],[تصنيف فرعي (2)]],4)</f>
        <v>1104</v>
      </c>
      <c r="H49" s="5" t="s">
        <v>985</v>
      </c>
      <c r="I49" s="5" t="str">
        <f>LEFT(الصنف[[#This Row],[تصنيف فرعي (1)]],2)</f>
        <v>11</v>
      </c>
      <c r="J49" s="1" t="s">
        <v>672</v>
      </c>
      <c r="K49" s="1">
        <f>VLOOKUP(الصنف[[#This Row],[وحده القياس]],$S$4:$T$67,2,TRUE)</f>
        <v>43</v>
      </c>
      <c r="L49" s="1" t="s">
        <v>742</v>
      </c>
      <c r="M49" s="1">
        <v>1</v>
      </c>
      <c r="N49" s="6" t="s">
        <v>742</v>
      </c>
      <c r="O49" s="7"/>
      <c r="P49" s="9">
        <f>IF(الصنف[[#This Row],[وحده المكونات]]="جرام",1,0)</f>
        <v>0</v>
      </c>
      <c r="S49" s="1" t="s">
        <v>763</v>
      </c>
      <c r="T49" s="1">
        <v>46</v>
      </c>
    </row>
    <row r="50" spans="2:20" ht="20.100000000000001" customHeight="1" x14ac:dyDescent="0.2">
      <c r="B50" s="4">
        <v>48</v>
      </c>
      <c r="C50" s="4">
        <v>1104003</v>
      </c>
      <c r="D50" s="2" t="s">
        <v>484</v>
      </c>
      <c r="E50" s="2" t="s">
        <v>484</v>
      </c>
      <c r="G50" s="1" t="str">
        <f>LEFT(الصنف[[#This Row],[تصنيف فرعي (2)]],4)</f>
        <v>1104</v>
      </c>
      <c r="H50" s="5" t="s">
        <v>985</v>
      </c>
      <c r="I50" s="5" t="str">
        <f>LEFT(الصنف[[#This Row],[تصنيف فرعي (1)]],2)</f>
        <v>11</v>
      </c>
      <c r="J50" s="1" t="s">
        <v>672</v>
      </c>
      <c r="K50" s="1">
        <f>VLOOKUP(الصنف[[#This Row],[وحده القياس]],$S$4:$T$67,2,TRUE)</f>
        <v>60</v>
      </c>
      <c r="L50" s="1" t="s">
        <v>686</v>
      </c>
      <c r="M50" s="1">
        <v>1000</v>
      </c>
      <c r="N50" s="6" t="s">
        <v>678</v>
      </c>
      <c r="O50" s="7">
        <v>383</v>
      </c>
      <c r="P50" s="9">
        <f>IF(الصنف[[#This Row],[وحده المكونات]]="جرام",1,0)</f>
        <v>1</v>
      </c>
      <c r="S50" s="1" t="s">
        <v>747</v>
      </c>
      <c r="T50" s="1">
        <v>47</v>
      </c>
    </row>
    <row r="51" spans="2:20" ht="20.100000000000001" customHeight="1" x14ac:dyDescent="0.2">
      <c r="B51" s="4">
        <v>49</v>
      </c>
      <c r="C51" s="4">
        <v>1104004</v>
      </c>
      <c r="D51" s="2" t="s">
        <v>495</v>
      </c>
      <c r="E51" s="2" t="s">
        <v>495</v>
      </c>
      <c r="G51" s="1" t="str">
        <f>LEFT(الصنف[[#This Row],[تصنيف فرعي (2)]],4)</f>
        <v>1104</v>
      </c>
      <c r="H51" s="5" t="s">
        <v>985</v>
      </c>
      <c r="I51" s="5" t="str">
        <f>LEFT(الصنف[[#This Row],[تصنيف فرعي (1)]],2)</f>
        <v>11</v>
      </c>
      <c r="J51" s="1" t="s">
        <v>672</v>
      </c>
      <c r="K51" s="1">
        <f>VLOOKUP(الصنف[[#This Row],[وحده القياس]],$S$4:$T$67,2,TRUE)</f>
        <v>60</v>
      </c>
      <c r="L51" s="1" t="s">
        <v>686</v>
      </c>
      <c r="M51" s="1">
        <v>1000</v>
      </c>
      <c r="N51" s="6" t="s">
        <v>678</v>
      </c>
      <c r="O51" s="7"/>
      <c r="P51" s="9">
        <f>IF(الصنف[[#This Row],[وحده المكونات]]="جرام",1,0)</f>
        <v>1</v>
      </c>
      <c r="S51" s="1" t="s">
        <v>922</v>
      </c>
      <c r="T51" s="1">
        <v>48</v>
      </c>
    </row>
    <row r="52" spans="2:20" ht="20.100000000000001" customHeight="1" x14ac:dyDescent="0.2">
      <c r="B52" s="4">
        <v>50</v>
      </c>
      <c r="C52" s="4">
        <v>1104005</v>
      </c>
      <c r="D52" s="2" t="s">
        <v>500</v>
      </c>
      <c r="E52" s="2" t="s">
        <v>869</v>
      </c>
      <c r="G52" s="1" t="str">
        <f>LEFT(الصنف[[#This Row],[تصنيف فرعي (2)]],4)</f>
        <v>1104</v>
      </c>
      <c r="H52" s="5" t="s">
        <v>985</v>
      </c>
      <c r="I52" s="5" t="str">
        <f>LEFT(الصنف[[#This Row],[تصنيف فرعي (1)]],2)</f>
        <v>11</v>
      </c>
      <c r="J52" s="1" t="s">
        <v>672</v>
      </c>
      <c r="K52" s="1">
        <f>VLOOKUP(الصنف[[#This Row],[وحده القياس]],$S$4:$T$67,2,TRUE)</f>
        <v>60</v>
      </c>
      <c r="L52" s="1" t="s">
        <v>686</v>
      </c>
      <c r="M52" s="1">
        <v>1000</v>
      </c>
      <c r="N52" s="6" t="s">
        <v>678</v>
      </c>
      <c r="O52" s="7"/>
      <c r="P52" s="9">
        <f>IF(الصنف[[#This Row],[وحده المكونات]]="جرام",1,0)</f>
        <v>1</v>
      </c>
      <c r="S52" s="1" t="s">
        <v>383</v>
      </c>
      <c r="T52" s="1">
        <v>49</v>
      </c>
    </row>
    <row r="53" spans="2:20" ht="20.100000000000001" customHeight="1" x14ac:dyDescent="0.2">
      <c r="B53" s="4">
        <v>51</v>
      </c>
      <c r="C53" s="4">
        <v>1104006</v>
      </c>
      <c r="D53" s="2" t="s">
        <v>507</v>
      </c>
      <c r="E53" s="2" t="s">
        <v>507</v>
      </c>
      <c r="G53" s="1" t="str">
        <f>LEFT(الصنف[[#This Row],[تصنيف فرعي (2)]],4)</f>
        <v>1104</v>
      </c>
      <c r="H53" s="5" t="s">
        <v>985</v>
      </c>
      <c r="I53" s="5" t="str">
        <f>LEFT(الصنف[[#This Row],[تصنيف فرعي (1)]],2)</f>
        <v>11</v>
      </c>
      <c r="J53" s="1" t="s">
        <v>672</v>
      </c>
      <c r="K53" s="1">
        <f>VLOOKUP(الصنف[[#This Row],[وحده القياس]],$S$4:$T$67,2,TRUE)</f>
        <v>60</v>
      </c>
      <c r="L53" s="1" t="s">
        <v>686</v>
      </c>
      <c r="M53" s="1">
        <v>1000</v>
      </c>
      <c r="N53" s="6" t="s">
        <v>678</v>
      </c>
      <c r="O53" s="7"/>
      <c r="P53" s="9">
        <f>IF(الصنف[[#This Row],[وحده المكونات]]="جرام",1,0)</f>
        <v>1</v>
      </c>
      <c r="S53" s="1" t="s">
        <v>758</v>
      </c>
      <c r="T53" s="1">
        <v>50</v>
      </c>
    </row>
    <row r="54" spans="2:20" ht="20.100000000000001" customHeight="1" x14ac:dyDescent="0.2">
      <c r="B54" s="4">
        <v>52</v>
      </c>
      <c r="C54" s="4">
        <v>1104007</v>
      </c>
      <c r="D54" s="2" t="s">
        <v>509</v>
      </c>
      <c r="E54" s="2" t="s">
        <v>509</v>
      </c>
      <c r="G54" s="1" t="str">
        <f>LEFT(الصنف[[#This Row],[تصنيف فرعي (2)]],4)</f>
        <v>1104</v>
      </c>
      <c r="H54" s="5" t="s">
        <v>985</v>
      </c>
      <c r="I54" s="5" t="str">
        <f>LEFT(الصنف[[#This Row],[تصنيف فرعي (1)]],2)</f>
        <v>11</v>
      </c>
      <c r="J54" s="1" t="s">
        <v>672</v>
      </c>
      <c r="K54" s="1">
        <f>VLOOKUP(الصنف[[#This Row],[وحده القياس]],$S$4:$T$67,2,TRUE)</f>
        <v>60</v>
      </c>
      <c r="L54" s="1" t="s">
        <v>686</v>
      </c>
      <c r="M54" s="1">
        <v>1000</v>
      </c>
      <c r="N54" s="6" t="s">
        <v>678</v>
      </c>
      <c r="O54" s="7">
        <v>670</v>
      </c>
      <c r="P54" s="9">
        <f>IF(الصنف[[#This Row],[وحده المكونات]]="جرام",1,0)</f>
        <v>1</v>
      </c>
      <c r="S54" s="1" t="s">
        <v>761</v>
      </c>
      <c r="T54" s="1">
        <v>51</v>
      </c>
    </row>
    <row r="55" spans="2:20" ht="20.100000000000001" customHeight="1" x14ac:dyDescent="0.2">
      <c r="B55" s="4">
        <v>53</v>
      </c>
      <c r="C55" s="4">
        <v>1104008</v>
      </c>
      <c r="D55" s="2" t="s">
        <v>514</v>
      </c>
      <c r="E55" s="2" t="s">
        <v>514</v>
      </c>
      <c r="G55" s="1" t="str">
        <f>LEFT(الصنف[[#This Row],[تصنيف فرعي (2)]],4)</f>
        <v>1104</v>
      </c>
      <c r="H55" s="5" t="s">
        <v>985</v>
      </c>
      <c r="I55" s="5" t="str">
        <f>LEFT(الصنف[[#This Row],[تصنيف فرعي (1)]],2)</f>
        <v>11</v>
      </c>
      <c r="J55" s="1" t="s">
        <v>672</v>
      </c>
      <c r="K55" s="1">
        <f>VLOOKUP(الصنف[[#This Row],[وحده القياس]],$S$4:$T$67,2,TRUE)</f>
        <v>60</v>
      </c>
      <c r="L55" s="1" t="s">
        <v>686</v>
      </c>
      <c r="M55" s="1">
        <v>1000</v>
      </c>
      <c r="N55" s="6" t="s">
        <v>678</v>
      </c>
      <c r="O55" s="7">
        <v>670</v>
      </c>
      <c r="P55" s="9">
        <f>IF(الصنف[[#This Row],[وحده المكونات]]="جرام",1,0)</f>
        <v>1</v>
      </c>
      <c r="S55" s="1" t="s">
        <v>948</v>
      </c>
      <c r="T55" s="1">
        <v>52</v>
      </c>
    </row>
    <row r="56" spans="2:20" ht="20.100000000000001" customHeight="1" x14ac:dyDescent="0.2">
      <c r="B56" s="4">
        <v>54</v>
      </c>
      <c r="C56" s="4">
        <v>1104009</v>
      </c>
      <c r="D56" s="2" t="s">
        <v>546</v>
      </c>
      <c r="E56" s="2" t="s">
        <v>870</v>
      </c>
      <c r="G56" s="1" t="str">
        <f>LEFT(الصنف[[#This Row],[تصنيف فرعي (2)]],4)</f>
        <v>1104</v>
      </c>
      <c r="H56" s="5" t="s">
        <v>985</v>
      </c>
      <c r="I56" s="5" t="str">
        <f>LEFT(الصنف[[#This Row],[تصنيف فرعي (1)]],2)</f>
        <v>11</v>
      </c>
      <c r="J56" s="1" t="s">
        <v>672</v>
      </c>
      <c r="K56" s="1">
        <f>VLOOKUP(الصنف[[#This Row],[وحده القياس]],$S$4:$T$67,2,TRUE)</f>
        <v>60</v>
      </c>
      <c r="L56" s="1" t="s">
        <v>686</v>
      </c>
      <c r="M56" s="1">
        <v>1000</v>
      </c>
      <c r="N56" s="6" t="s">
        <v>678</v>
      </c>
      <c r="O56" s="7">
        <v>315</v>
      </c>
      <c r="P56" s="9">
        <f>IF(الصنف[[#This Row],[وحده المكونات]]="جرام",1,0)</f>
        <v>1</v>
      </c>
      <c r="S56" s="1" t="s">
        <v>894</v>
      </c>
      <c r="T56" s="1">
        <v>53</v>
      </c>
    </row>
    <row r="57" spans="2:20" ht="20.100000000000001" customHeight="1" x14ac:dyDescent="0.2">
      <c r="B57" s="4">
        <v>55</v>
      </c>
      <c r="C57" s="4">
        <v>1104010</v>
      </c>
      <c r="D57" s="2" t="s">
        <v>516</v>
      </c>
      <c r="E57" s="2" t="s">
        <v>516</v>
      </c>
      <c r="G57" s="1" t="str">
        <f>LEFT(الصنف[[#This Row],[تصنيف فرعي (2)]],4)</f>
        <v>1104</v>
      </c>
      <c r="H57" s="5" t="s">
        <v>985</v>
      </c>
      <c r="I57" s="5" t="str">
        <f>LEFT(الصنف[[#This Row],[تصنيف فرعي (1)]],2)</f>
        <v>11</v>
      </c>
      <c r="J57" s="1" t="s">
        <v>672</v>
      </c>
      <c r="K57" s="1">
        <f>VLOOKUP(الصنف[[#This Row],[وحده القياس]],$S$4:$T$67,2,TRUE)</f>
        <v>60</v>
      </c>
      <c r="L57" s="1" t="s">
        <v>686</v>
      </c>
      <c r="M57" s="1">
        <v>1000</v>
      </c>
      <c r="N57" s="6" t="s">
        <v>678</v>
      </c>
      <c r="O57" s="7">
        <v>315</v>
      </c>
      <c r="P57" s="9">
        <f>IF(الصنف[[#This Row],[وحده المكونات]]="جرام",1,0)</f>
        <v>1</v>
      </c>
      <c r="S57" s="1" t="s">
        <v>949</v>
      </c>
      <c r="T57" s="1">
        <v>54</v>
      </c>
    </row>
    <row r="58" spans="2:20" ht="20.100000000000001" customHeight="1" x14ac:dyDescent="0.2">
      <c r="B58" s="4">
        <v>56</v>
      </c>
      <c r="C58" s="4">
        <v>1104011</v>
      </c>
      <c r="D58" s="2" t="s">
        <v>520</v>
      </c>
      <c r="E58" s="2" t="s">
        <v>871</v>
      </c>
      <c r="G58" s="1" t="str">
        <f>LEFT(الصنف[[#This Row],[تصنيف فرعي (2)]],4)</f>
        <v>1104</v>
      </c>
      <c r="H58" s="5" t="s">
        <v>985</v>
      </c>
      <c r="I58" s="5" t="str">
        <f>LEFT(الصنف[[#This Row],[تصنيف فرعي (1)]],2)</f>
        <v>11</v>
      </c>
      <c r="J58" s="1" t="s">
        <v>672</v>
      </c>
      <c r="K58" s="1">
        <f>VLOOKUP(الصنف[[#This Row],[وحده القياس]],$S$4:$T$67,2,TRUE)</f>
        <v>60</v>
      </c>
      <c r="L58" s="1" t="s">
        <v>686</v>
      </c>
      <c r="M58" s="1">
        <v>1000</v>
      </c>
      <c r="N58" s="6" t="s">
        <v>678</v>
      </c>
      <c r="O58" s="7">
        <v>310</v>
      </c>
      <c r="P58" s="9">
        <f>IF(الصنف[[#This Row],[وحده المكونات]]="جرام",1,0)</f>
        <v>1</v>
      </c>
      <c r="S58" s="1" t="s">
        <v>950</v>
      </c>
      <c r="T58" s="1">
        <v>55</v>
      </c>
    </row>
    <row r="59" spans="2:20" ht="20.100000000000001" customHeight="1" x14ac:dyDescent="0.2">
      <c r="B59" s="4">
        <v>57</v>
      </c>
      <c r="C59" s="4">
        <v>1104012</v>
      </c>
      <c r="D59" s="2" t="s">
        <v>547</v>
      </c>
      <c r="E59" s="2" t="s">
        <v>872</v>
      </c>
      <c r="G59" s="1" t="str">
        <f>LEFT(الصنف[[#This Row],[تصنيف فرعي (2)]],4)</f>
        <v>1104</v>
      </c>
      <c r="H59" s="5" t="s">
        <v>985</v>
      </c>
      <c r="I59" s="5" t="str">
        <f>LEFT(الصنف[[#This Row],[تصنيف فرعي (1)]],2)</f>
        <v>11</v>
      </c>
      <c r="J59" s="1" t="s">
        <v>672</v>
      </c>
      <c r="K59" s="1">
        <f>VLOOKUP(الصنف[[#This Row],[وحده القياس]],$S$4:$T$67,2,TRUE)</f>
        <v>60</v>
      </c>
      <c r="L59" s="1" t="s">
        <v>686</v>
      </c>
      <c r="M59" s="1">
        <v>1000</v>
      </c>
      <c r="N59" s="6" t="s">
        <v>678</v>
      </c>
      <c r="O59" s="7">
        <v>310</v>
      </c>
      <c r="P59" s="9">
        <f>IF(الصنف[[#This Row],[وحده المكونات]]="جرام",1,0)</f>
        <v>1</v>
      </c>
      <c r="S59" s="1" t="s">
        <v>762</v>
      </c>
      <c r="T59" s="1">
        <v>56</v>
      </c>
    </row>
    <row r="60" spans="2:20" ht="20.100000000000001" customHeight="1" x14ac:dyDescent="0.2">
      <c r="B60" s="4">
        <v>58</v>
      </c>
      <c r="C60" s="4">
        <v>1104013</v>
      </c>
      <c r="D60" s="2" t="s">
        <v>934</v>
      </c>
      <c r="E60" s="2" t="s">
        <v>873</v>
      </c>
      <c r="G60" s="1" t="str">
        <f>LEFT(الصنف[[#This Row],[تصنيف فرعي (2)]],4)</f>
        <v>1104</v>
      </c>
      <c r="H60" s="5" t="s">
        <v>985</v>
      </c>
      <c r="I60" s="5" t="str">
        <f>LEFT(الصنف[[#This Row],[تصنيف فرعي (1)]],2)</f>
        <v>11</v>
      </c>
      <c r="J60" s="1" t="s">
        <v>672</v>
      </c>
      <c r="K60" s="1">
        <f>VLOOKUP(الصنف[[#This Row],[وحده القياس]],$S$4:$T$67,2,TRUE)</f>
        <v>60</v>
      </c>
      <c r="L60" s="1" t="s">
        <v>686</v>
      </c>
      <c r="M60" s="1">
        <v>1000</v>
      </c>
      <c r="N60" s="6" t="s">
        <v>678</v>
      </c>
      <c r="O60" s="7">
        <v>320</v>
      </c>
      <c r="P60" s="9">
        <f>IF(الصنف[[#This Row],[وحده المكونات]]="جرام",1,0)</f>
        <v>1</v>
      </c>
      <c r="S60" s="1" t="s">
        <v>906</v>
      </c>
      <c r="T60" s="1">
        <v>57</v>
      </c>
    </row>
    <row r="61" spans="2:20" ht="20.100000000000001" customHeight="1" x14ac:dyDescent="0.2">
      <c r="B61" s="4">
        <v>59</v>
      </c>
      <c r="C61" s="4">
        <v>1104014</v>
      </c>
      <c r="D61" s="2" t="s">
        <v>935</v>
      </c>
      <c r="E61" s="2" t="s">
        <v>874</v>
      </c>
      <c r="G61" s="1" t="str">
        <f>LEFT(الصنف[[#This Row],[تصنيف فرعي (2)]],4)</f>
        <v>1104</v>
      </c>
      <c r="H61" s="5" t="s">
        <v>985</v>
      </c>
      <c r="I61" s="5" t="str">
        <f>LEFT(الصنف[[#This Row],[تصنيف فرعي (1)]],2)</f>
        <v>11</v>
      </c>
      <c r="J61" s="1" t="s">
        <v>672</v>
      </c>
      <c r="K61" s="1">
        <f>VLOOKUP(الصنف[[#This Row],[وحده القياس]],$S$4:$T$67,2,TRUE)</f>
        <v>60</v>
      </c>
      <c r="L61" s="1" t="s">
        <v>686</v>
      </c>
      <c r="M61" s="1">
        <v>1000</v>
      </c>
      <c r="N61" s="6" t="s">
        <v>678</v>
      </c>
      <c r="O61" s="7">
        <v>320</v>
      </c>
      <c r="P61" s="9">
        <f>IF(الصنف[[#This Row],[وحده المكونات]]="جرام",1,0)</f>
        <v>1</v>
      </c>
      <c r="S61" s="1" t="s">
        <v>951</v>
      </c>
      <c r="T61" s="1">
        <v>58</v>
      </c>
    </row>
    <row r="62" spans="2:20" ht="20.100000000000001" customHeight="1" x14ac:dyDescent="0.2">
      <c r="B62" s="4">
        <v>60</v>
      </c>
      <c r="C62" s="4">
        <v>1104015</v>
      </c>
      <c r="D62" s="2" t="s">
        <v>526</v>
      </c>
      <c r="E62" s="2" t="s">
        <v>526</v>
      </c>
      <c r="G62" s="1" t="str">
        <f>LEFT(الصنف[[#This Row],[تصنيف فرعي (2)]],4)</f>
        <v>1104</v>
      </c>
      <c r="H62" s="5" t="s">
        <v>985</v>
      </c>
      <c r="I62" s="5" t="str">
        <f>LEFT(الصنف[[#This Row],[تصنيف فرعي (1)]],2)</f>
        <v>11</v>
      </c>
      <c r="J62" s="1" t="s">
        <v>672</v>
      </c>
      <c r="K62" s="1">
        <f>VLOOKUP(الصنف[[#This Row],[وحده القياس]],$S$4:$T$67,2,TRUE)</f>
        <v>43</v>
      </c>
      <c r="L62" s="1" t="s">
        <v>742</v>
      </c>
      <c r="M62" s="1">
        <v>1</v>
      </c>
      <c r="N62" s="6" t="s">
        <v>742</v>
      </c>
      <c r="O62" s="7"/>
      <c r="P62" s="9">
        <f>IF(الصنف[[#This Row],[وحده المكونات]]="جرام",1,0)</f>
        <v>0</v>
      </c>
      <c r="S62" s="1" t="s">
        <v>768</v>
      </c>
      <c r="T62" s="1">
        <v>59</v>
      </c>
    </row>
    <row r="63" spans="2:20" ht="20.100000000000001" customHeight="1" x14ac:dyDescent="0.2">
      <c r="B63" s="4">
        <v>61</v>
      </c>
      <c r="C63" s="4">
        <v>1201001</v>
      </c>
      <c r="D63" s="2" t="s">
        <v>249</v>
      </c>
      <c r="E63" s="2" t="s">
        <v>249</v>
      </c>
      <c r="G63" s="1" t="str">
        <f>LEFT(الصنف[[#This Row],[تصنيف فرعي (2)]],4)</f>
        <v>1201</v>
      </c>
      <c r="H63" s="5" t="s">
        <v>986</v>
      </c>
      <c r="I63" s="5" t="str">
        <f>LEFT(الصنف[[#This Row],[تصنيف فرعي (1)]],2)</f>
        <v>12</v>
      </c>
      <c r="J63" s="1" t="s">
        <v>663</v>
      </c>
      <c r="K63" s="1">
        <f>VLOOKUP(الصنف[[#This Row],[وحده القياس]],$S$4:$T$67,2,TRUE)</f>
        <v>29</v>
      </c>
      <c r="L63" s="1" t="s">
        <v>390</v>
      </c>
      <c r="M63" s="1">
        <v>5</v>
      </c>
      <c r="N63" s="6" t="s">
        <v>742</v>
      </c>
      <c r="O63" s="7">
        <v>73</v>
      </c>
      <c r="P63" s="9">
        <f>IF(الصنف[[#This Row],[وحده المكونات]]="جرام",1,0)</f>
        <v>0</v>
      </c>
      <c r="S63" s="1" t="s">
        <v>686</v>
      </c>
      <c r="T63" s="1">
        <v>60</v>
      </c>
    </row>
    <row r="64" spans="2:20" ht="20.100000000000001" customHeight="1" x14ac:dyDescent="0.2">
      <c r="B64" s="4">
        <v>62</v>
      </c>
      <c r="C64" s="4">
        <v>1201002</v>
      </c>
      <c r="D64" s="2" t="s">
        <v>43</v>
      </c>
      <c r="E64" s="2" t="s">
        <v>43</v>
      </c>
      <c r="G64" s="1" t="str">
        <f>LEFT(الصنف[[#This Row],[تصنيف فرعي (2)]],4)</f>
        <v>1201</v>
      </c>
      <c r="H64" s="5" t="s">
        <v>986</v>
      </c>
      <c r="I64" s="5" t="str">
        <f>LEFT(الصنف[[#This Row],[تصنيف فرعي (1)]],2)</f>
        <v>12</v>
      </c>
      <c r="J64" s="1" t="s">
        <v>663</v>
      </c>
      <c r="K64" s="1">
        <f>VLOOKUP(الصنف[[#This Row],[وحده القياس]],$S$4:$T$67,2,TRUE)</f>
        <v>42</v>
      </c>
      <c r="L64" s="1" t="s">
        <v>917</v>
      </c>
      <c r="M64" s="1">
        <v>9</v>
      </c>
      <c r="N64" s="6" t="s">
        <v>742</v>
      </c>
      <c r="O64" s="7"/>
      <c r="P64" s="9">
        <f>IF(الصنف[[#This Row],[وحده المكونات]]="جرام",1,0)</f>
        <v>0</v>
      </c>
      <c r="S64" s="1" t="s">
        <v>750</v>
      </c>
      <c r="T64" s="1">
        <v>61</v>
      </c>
    </row>
    <row r="65" spans="2:20" ht="20.100000000000001" customHeight="1" x14ac:dyDescent="0.2">
      <c r="B65" s="4">
        <v>63</v>
      </c>
      <c r="C65" s="4">
        <v>1201003</v>
      </c>
      <c r="D65" s="2" t="s">
        <v>252</v>
      </c>
      <c r="E65" s="2" t="s">
        <v>252</v>
      </c>
      <c r="G65" s="1" t="str">
        <f>LEFT(الصنف[[#This Row],[تصنيف فرعي (2)]],4)</f>
        <v>1201</v>
      </c>
      <c r="H65" s="5" t="s">
        <v>986</v>
      </c>
      <c r="I65" s="5" t="str">
        <f>LEFT(الصنف[[#This Row],[تصنيف فرعي (1)]],2)</f>
        <v>12</v>
      </c>
      <c r="J65" s="1" t="s">
        <v>663</v>
      </c>
      <c r="K65" s="1">
        <f>VLOOKUP(الصنف[[#This Row],[وحده القياس]],$S$4:$T$67,2,TRUE)</f>
        <v>60</v>
      </c>
      <c r="L65" s="1" t="s">
        <v>686</v>
      </c>
      <c r="M65" s="1">
        <v>1000</v>
      </c>
      <c r="N65" s="6" t="s">
        <v>678</v>
      </c>
      <c r="O65" s="7"/>
      <c r="P65" s="9">
        <f>IF(الصنف[[#This Row],[وحده المكونات]]="جرام",1,0)</f>
        <v>1</v>
      </c>
      <c r="S65" s="1" t="s">
        <v>386</v>
      </c>
      <c r="T65" s="1">
        <v>62</v>
      </c>
    </row>
    <row r="66" spans="2:20" ht="20.100000000000001" customHeight="1" x14ac:dyDescent="0.2">
      <c r="B66" s="4">
        <v>64</v>
      </c>
      <c r="C66" s="4">
        <v>1201004</v>
      </c>
      <c r="D66" s="2" t="s">
        <v>485</v>
      </c>
      <c r="E66" s="2" t="s">
        <v>927</v>
      </c>
      <c r="G66" s="1" t="str">
        <f>LEFT(الصنف[[#This Row],[تصنيف فرعي (2)]],4)</f>
        <v>1201</v>
      </c>
      <c r="H66" s="5" t="s">
        <v>986</v>
      </c>
      <c r="I66" s="5" t="str">
        <f>LEFT(الصنف[[#This Row],[تصنيف فرعي (1)]],2)</f>
        <v>12</v>
      </c>
      <c r="J66" s="1" t="s">
        <v>663</v>
      </c>
      <c r="K66" s="1">
        <f>VLOOKUP(الصنف[[#This Row],[وحده القياس]],$S$4:$T$67,2,TRUE)</f>
        <v>43</v>
      </c>
      <c r="L66" s="1" t="s">
        <v>742</v>
      </c>
      <c r="M66" s="1">
        <v>1</v>
      </c>
      <c r="N66" s="6" t="s">
        <v>742</v>
      </c>
      <c r="O66" s="7"/>
      <c r="P66" s="9">
        <f>IF(الصنف[[#This Row],[وحده المكونات]]="جرام",1,0)</f>
        <v>0</v>
      </c>
      <c r="S66" s="1" t="s">
        <v>941</v>
      </c>
      <c r="T66" s="1">
        <v>63</v>
      </c>
    </row>
    <row r="67" spans="2:20" ht="20.100000000000001" customHeight="1" x14ac:dyDescent="0.2">
      <c r="B67" s="4">
        <v>65</v>
      </c>
      <c r="C67" s="4">
        <v>1201005</v>
      </c>
      <c r="D67" s="2" t="s">
        <v>239</v>
      </c>
      <c r="E67" s="2" t="s">
        <v>239</v>
      </c>
      <c r="G67" s="1" t="str">
        <f>LEFT(الصنف[[#This Row],[تصنيف فرعي (2)]],4)</f>
        <v>1201</v>
      </c>
      <c r="H67" s="5" t="s">
        <v>986</v>
      </c>
      <c r="I67" s="5" t="str">
        <f>LEFT(الصنف[[#This Row],[تصنيف فرعي (1)]],2)</f>
        <v>12</v>
      </c>
      <c r="J67" s="1" t="s">
        <v>663</v>
      </c>
      <c r="K67" s="1">
        <f>VLOOKUP(الصنف[[#This Row],[وحده القياس]],$S$4:$T$67,2,TRUE)</f>
        <v>60</v>
      </c>
      <c r="L67" s="1" t="s">
        <v>686</v>
      </c>
      <c r="M67" s="1">
        <v>1000</v>
      </c>
      <c r="N67" s="6" t="s">
        <v>678</v>
      </c>
      <c r="O67" s="7"/>
      <c r="P67" s="9">
        <f>IF(الصنف[[#This Row],[وحده المكونات]]="جرام",1,0)</f>
        <v>1</v>
      </c>
      <c r="S67" s="1" t="s">
        <v>391</v>
      </c>
      <c r="T67" s="1">
        <v>64</v>
      </c>
    </row>
    <row r="68" spans="2:20" ht="20.100000000000001" customHeight="1" x14ac:dyDescent="0.2">
      <c r="B68" s="4">
        <v>66</v>
      </c>
      <c r="C68" s="4">
        <v>1201006</v>
      </c>
      <c r="D68" s="2" t="s">
        <v>375</v>
      </c>
      <c r="E68" s="2" t="s">
        <v>375</v>
      </c>
      <c r="G68" s="1" t="str">
        <f>LEFT(الصنف[[#This Row],[تصنيف فرعي (2)]],4)</f>
        <v>1201</v>
      </c>
      <c r="H68" s="5" t="s">
        <v>986</v>
      </c>
      <c r="I68" s="5" t="str">
        <f>LEFT(الصنف[[#This Row],[تصنيف فرعي (1)]],2)</f>
        <v>12</v>
      </c>
      <c r="J68" s="1" t="s">
        <v>663</v>
      </c>
      <c r="K68" s="1">
        <f>VLOOKUP(الصنف[[#This Row],[وحده القياس]],$S$4:$T$67,2,TRUE)</f>
        <v>60</v>
      </c>
      <c r="L68" s="1" t="s">
        <v>686</v>
      </c>
      <c r="M68" s="1">
        <v>1000</v>
      </c>
      <c r="N68" s="6" t="s">
        <v>678</v>
      </c>
      <c r="O68" s="7"/>
      <c r="P68" s="9">
        <f>IF(الصنف[[#This Row],[وحده المكونات]]="جرام",1,0)</f>
        <v>1</v>
      </c>
    </row>
    <row r="69" spans="2:20" ht="20.100000000000001" customHeight="1" x14ac:dyDescent="0.2">
      <c r="B69" s="4">
        <v>67</v>
      </c>
      <c r="C69" s="4">
        <v>1201007</v>
      </c>
      <c r="D69" s="2" t="s">
        <v>450</v>
      </c>
      <c r="E69" s="2" t="s">
        <v>450</v>
      </c>
      <c r="G69" s="1" t="str">
        <f>LEFT(الصنف[[#This Row],[تصنيف فرعي (2)]],4)</f>
        <v>1201</v>
      </c>
      <c r="H69" s="5" t="s">
        <v>986</v>
      </c>
      <c r="I69" s="5" t="str">
        <f>LEFT(الصنف[[#This Row],[تصنيف فرعي (1)]],2)</f>
        <v>12</v>
      </c>
      <c r="J69" s="1" t="s">
        <v>663</v>
      </c>
      <c r="K69" s="1">
        <f>VLOOKUP(الصنف[[#This Row],[وحده القياس]],$S$4:$T$67,2,TRUE)</f>
        <v>60</v>
      </c>
      <c r="L69" s="1" t="s">
        <v>686</v>
      </c>
      <c r="M69" s="1">
        <v>1000</v>
      </c>
      <c r="N69" s="6" t="s">
        <v>678</v>
      </c>
      <c r="O69" s="7"/>
      <c r="P69" s="9">
        <f>IF(الصنف[[#This Row],[وحده المكونات]]="جرام",1,0)</f>
        <v>1</v>
      </c>
    </row>
    <row r="70" spans="2:20" ht="20.100000000000001" customHeight="1" x14ac:dyDescent="0.2">
      <c r="B70" s="4">
        <v>68</v>
      </c>
      <c r="C70" s="4">
        <v>1201008</v>
      </c>
      <c r="D70" s="2" t="s">
        <v>221</v>
      </c>
      <c r="E70" s="2" t="s">
        <v>221</v>
      </c>
      <c r="G70" s="1" t="str">
        <f>LEFT(الصنف[[#This Row],[تصنيف فرعي (2)]],4)</f>
        <v>1201</v>
      </c>
      <c r="H70" s="5" t="s">
        <v>986</v>
      </c>
      <c r="I70" s="5" t="str">
        <f>LEFT(الصنف[[#This Row],[تصنيف فرعي (1)]],2)</f>
        <v>12</v>
      </c>
      <c r="J70" s="1" t="s">
        <v>663</v>
      </c>
      <c r="K70" s="1">
        <f>VLOOKUP(الصنف[[#This Row],[وحده القياس]],$S$4:$T$67,2,TRUE)</f>
        <v>60</v>
      </c>
      <c r="L70" s="1" t="s">
        <v>686</v>
      </c>
      <c r="M70" s="1">
        <v>1000</v>
      </c>
      <c r="N70" s="6" t="s">
        <v>678</v>
      </c>
      <c r="O70" s="7">
        <v>198</v>
      </c>
      <c r="P70" s="9">
        <f>IF(الصنف[[#This Row],[وحده المكونات]]="جرام",1,0)</f>
        <v>1</v>
      </c>
    </row>
    <row r="71" spans="2:20" ht="20.100000000000001" customHeight="1" x14ac:dyDescent="0.2">
      <c r="B71" s="4">
        <v>69</v>
      </c>
      <c r="C71" s="4">
        <v>1201009</v>
      </c>
      <c r="D71" s="2" t="s">
        <v>241</v>
      </c>
      <c r="E71" s="2" t="s">
        <v>241</v>
      </c>
      <c r="G71" s="1" t="str">
        <f>LEFT(الصنف[[#This Row],[تصنيف فرعي (2)]],4)</f>
        <v>1201</v>
      </c>
      <c r="H71" s="5" t="s">
        <v>986</v>
      </c>
      <c r="I71" s="5" t="str">
        <f>LEFT(الصنف[[#This Row],[تصنيف فرعي (1)]],2)</f>
        <v>12</v>
      </c>
      <c r="J71" s="1" t="s">
        <v>663</v>
      </c>
      <c r="K71" s="1">
        <f>VLOOKUP(الصنف[[#This Row],[وحده القياس]],$S$4:$T$67,2,TRUE)</f>
        <v>60</v>
      </c>
      <c r="L71" s="1" t="s">
        <v>686</v>
      </c>
      <c r="M71" s="1">
        <v>1000</v>
      </c>
      <c r="N71" s="6" t="s">
        <v>678</v>
      </c>
      <c r="O71" s="7"/>
      <c r="P71" s="9">
        <f>IF(الصنف[[#This Row],[وحده المكونات]]="جرام",1,0)</f>
        <v>1</v>
      </c>
    </row>
    <row r="72" spans="2:20" ht="20.100000000000001" customHeight="1" x14ac:dyDescent="0.2">
      <c r="B72" s="4">
        <v>70</v>
      </c>
      <c r="C72" s="4">
        <v>1201010</v>
      </c>
      <c r="D72" s="2" t="s">
        <v>502</v>
      </c>
      <c r="E72" s="2" t="s">
        <v>502</v>
      </c>
      <c r="G72" s="1" t="str">
        <f>LEFT(الصنف[[#This Row],[تصنيف فرعي (2)]],4)</f>
        <v>1201</v>
      </c>
      <c r="H72" s="5" t="s">
        <v>986</v>
      </c>
      <c r="I72" s="5" t="str">
        <f>LEFT(الصنف[[#This Row],[تصنيف فرعي (1)]],2)</f>
        <v>12</v>
      </c>
      <c r="J72" s="1" t="s">
        <v>663</v>
      </c>
      <c r="K72" s="1">
        <f>VLOOKUP(الصنف[[#This Row],[وحده القياس]],$S$4:$T$67,2,TRUE)</f>
        <v>60</v>
      </c>
      <c r="L72" s="1" t="s">
        <v>686</v>
      </c>
      <c r="M72" s="1">
        <v>1000</v>
      </c>
      <c r="N72" s="6" t="s">
        <v>678</v>
      </c>
      <c r="O72" s="7"/>
      <c r="P72" s="9">
        <f>IF(الصنف[[#This Row],[وحده المكونات]]="جرام",1,0)</f>
        <v>1</v>
      </c>
    </row>
    <row r="73" spans="2:20" ht="20.100000000000001" customHeight="1" x14ac:dyDescent="0.2">
      <c r="B73" s="4">
        <v>71</v>
      </c>
      <c r="C73" s="4">
        <v>1201011</v>
      </c>
      <c r="D73" s="2" t="s">
        <v>237</v>
      </c>
      <c r="E73" s="2" t="s">
        <v>237</v>
      </c>
      <c r="G73" s="1" t="str">
        <f>LEFT(الصنف[[#This Row],[تصنيف فرعي (2)]],4)</f>
        <v>1201</v>
      </c>
      <c r="H73" s="5" t="s">
        <v>986</v>
      </c>
      <c r="I73" s="5" t="str">
        <f>LEFT(الصنف[[#This Row],[تصنيف فرعي (1)]],2)</f>
        <v>12</v>
      </c>
      <c r="J73" s="1" t="s">
        <v>663</v>
      </c>
      <c r="K73" s="1">
        <f>VLOOKUP(الصنف[[#This Row],[وحده القياس]],$S$4:$T$67,2,TRUE)</f>
        <v>60</v>
      </c>
      <c r="L73" s="1" t="s">
        <v>686</v>
      </c>
      <c r="M73" s="1">
        <v>1000</v>
      </c>
      <c r="N73" s="6" t="s">
        <v>678</v>
      </c>
      <c r="O73" s="7">
        <v>208</v>
      </c>
      <c r="P73" s="9">
        <f>IF(الصنف[[#This Row],[وحده المكونات]]="جرام",1,0)</f>
        <v>1</v>
      </c>
    </row>
    <row r="74" spans="2:20" ht="20.100000000000001" customHeight="1" x14ac:dyDescent="0.2">
      <c r="B74" s="4">
        <v>72</v>
      </c>
      <c r="C74" s="4">
        <v>1201012</v>
      </c>
      <c r="D74" s="2" t="s">
        <v>242</v>
      </c>
      <c r="E74" s="2" t="s">
        <v>242</v>
      </c>
      <c r="G74" s="1" t="str">
        <f>LEFT(الصنف[[#This Row],[تصنيف فرعي (2)]],4)</f>
        <v>1201</v>
      </c>
      <c r="H74" s="5" t="s">
        <v>986</v>
      </c>
      <c r="I74" s="5" t="str">
        <f>LEFT(الصنف[[#This Row],[تصنيف فرعي (1)]],2)</f>
        <v>12</v>
      </c>
      <c r="J74" s="1" t="s">
        <v>663</v>
      </c>
      <c r="K74" s="1">
        <f>VLOOKUP(الصنف[[#This Row],[وحده القياس]],$S$4:$T$67,2,TRUE)</f>
        <v>60</v>
      </c>
      <c r="L74" s="1" t="s">
        <v>686</v>
      </c>
      <c r="M74" s="1">
        <v>1000</v>
      </c>
      <c r="N74" s="6" t="s">
        <v>678</v>
      </c>
      <c r="O74" s="7"/>
      <c r="P74" s="9">
        <f>IF(الصنف[[#This Row],[وحده المكونات]]="جرام",1,0)</f>
        <v>1</v>
      </c>
    </row>
    <row r="75" spans="2:20" ht="20.100000000000001" customHeight="1" x14ac:dyDescent="0.2">
      <c r="B75" s="4">
        <v>73</v>
      </c>
      <c r="C75" s="4">
        <v>1201013</v>
      </c>
      <c r="D75" s="2" t="s">
        <v>508</v>
      </c>
      <c r="E75" s="2" t="s">
        <v>877</v>
      </c>
      <c r="G75" s="1" t="str">
        <f>LEFT(الصنف[[#This Row],[تصنيف فرعي (2)]],4)</f>
        <v>1201</v>
      </c>
      <c r="H75" s="5" t="s">
        <v>986</v>
      </c>
      <c r="I75" s="5" t="str">
        <f>LEFT(الصنف[[#This Row],[تصنيف فرعي (1)]],2)</f>
        <v>12</v>
      </c>
      <c r="J75" s="1" t="s">
        <v>663</v>
      </c>
      <c r="K75" s="1">
        <f>VLOOKUP(الصنف[[#This Row],[وحده القياس]],$S$4:$T$67,2,TRUE)</f>
        <v>43</v>
      </c>
      <c r="L75" s="1" t="s">
        <v>742</v>
      </c>
      <c r="M75" s="1">
        <v>1</v>
      </c>
      <c r="N75" s="6" t="s">
        <v>742</v>
      </c>
      <c r="O75" s="7">
        <v>290</v>
      </c>
      <c r="P75" s="9">
        <f>IF(الصنف[[#This Row],[وحده المكونات]]="جرام",1,0)</f>
        <v>0</v>
      </c>
    </row>
    <row r="76" spans="2:20" ht="20.100000000000001" customHeight="1" x14ac:dyDescent="0.2">
      <c r="B76" s="4">
        <v>74</v>
      </c>
      <c r="C76" s="4">
        <v>1201014</v>
      </c>
      <c r="D76" s="2" t="s">
        <v>243</v>
      </c>
      <c r="E76" s="2" t="s">
        <v>243</v>
      </c>
      <c r="G76" s="1" t="str">
        <f>LEFT(الصنف[[#This Row],[تصنيف فرعي (2)]],4)</f>
        <v>1201</v>
      </c>
      <c r="H76" s="5" t="s">
        <v>986</v>
      </c>
      <c r="I76" s="5" t="str">
        <f>LEFT(الصنف[[#This Row],[تصنيف فرعي (1)]],2)</f>
        <v>12</v>
      </c>
      <c r="J76" s="1" t="s">
        <v>663</v>
      </c>
      <c r="K76" s="1">
        <f>VLOOKUP(الصنف[[#This Row],[وحده القياس]],$S$4:$T$67,2,TRUE)</f>
        <v>43</v>
      </c>
      <c r="L76" s="1" t="s">
        <v>742</v>
      </c>
      <c r="M76" s="1">
        <v>1</v>
      </c>
      <c r="N76" s="6" t="s">
        <v>742</v>
      </c>
      <c r="O76" s="7"/>
      <c r="P76" s="9">
        <f>IF(الصنف[[#This Row],[وحده المكونات]]="جرام",1,0)</f>
        <v>0</v>
      </c>
    </row>
    <row r="77" spans="2:20" ht="20.100000000000001" customHeight="1" x14ac:dyDescent="0.2">
      <c r="B77" s="4">
        <v>75</v>
      </c>
      <c r="C77" s="4">
        <v>1201015</v>
      </c>
      <c r="D77" s="2" t="s">
        <v>544</v>
      </c>
      <c r="E77" s="2" t="s">
        <v>544</v>
      </c>
      <c r="G77" s="1" t="str">
        <f>LEFT(الصنف[[#This Row],[تصنيف فرعي (2)]],4)</f>
        <v>1201</v>
      </c>
      <c r="H77" s="5" t="s">
        <v>986</v>
      </c>
      <c r="I77" s="5" t="str">
        <f>LEFT(الصنف[[#This Row],[تصنيف فرعي (1)]],2)</f>
        <v>12</v>
      </c>
      <c r="J77" s="1" t="s">
        <v>663</v>
      </c>
      <c r="K77" s="1">
        <f>VLOOKUP(الصنف[[#This Row],[وحده القياس]],$S$4:$T$67,2,TRUE)</f>
        <v>43</v>
      </c>
      <c r="L77" s="1" t="s">
        <v>742</v>
      </c>
      <c r="M77" s="1">
        <v>1</v>
      </c>
      <c r="N77" s="6" t="s">
        <v>742</v>
      </c>
      <c r="O77" s="7"/>
      <c r="P77" s="9">
        <f>IF(الصنف[[#This Row],[وحده المكونات]]="جرام",1,0)</f>
        <v>0</v>
      </c>
    </row>
    <row r="78" spans="2:20" ht="20.100000000000001" customHeight="1" x14ac:dyDescent="0.2">
      <c r="B78" s="4">
        <v>76</v>
      </c>
      <c r="C78" s="4">
        <v>1201016</v>
      </c>
      <c r="D78" s="2" t="s">
        <v>846</v>
      </c>
      <c r="E78" s="2" t="s">
        <v>597</v>
      </c>
      <c r="G78" s="1" t="str">
        <f>LEFT(الصنف[[#This Row],[تصنيف فرعي (2)]],4)</f>
        <v>1201</v>
      </c>
      <c r="H78" s="5" t="s">
        <v>986</v>
      </c>
      <c r="I78" s="5" t="str">
        <f>LEFT(الصنف[[#This Row],[تصنيف فرعي (1)]],2)</f>
        <v>12</v>
      </c>
      <c r="J78" s="1" t="s">
        <v>663</v>
      </c>
      <c r="K78" s="1">
        <f>VLOOKUP(الصنف[[#This Row],[وحده القياس]],$S$4:$T$67,2,TRUE)</f>
        <v>60</v>
      </c>
      <c r="L78" s="1" t="s">
        <v>686</v>
      </c>
      <c r="M78" s="1">
        <v>1000</v>
      </c>
      <c r="N78" s="6" t="s">
        <v>678</v>
      </c>
      <c r="O78" s="7"/>
      <c r="P78" s="9">
        <f>IF(الصنف[[#This Row],[وحده المكونات]]="جرام",1,0)</f>
        <v>1</v>
      </c>
    </row>
    <row r="79" spans="2:20" ht="20.100000000000001" customHeight="1" x14ac:dyDescent="0.2">
      <c r="B79" s="4">
        <v>77</v>
      </c>
      <c r="C79" s="4">
        <v>1201017</v>
      </c>
      <c r="D79" s="2" t="s">
        <v>545</v>
      </c>
      <c r="E79" s="2" t="s">
        <v>545</v>
      </c>
      <c r="G79" s="1" t="str">
        <f>LEFT(الصنف[[#This Row],[تصنيف فرعي (2)]],4)</f>
        <v>1201</v>
      </c>
      <c r="H79" s="5" t="s">
        <v>986</v>
      </c>
      <c r="I79" s="5" t="str">
        <f>LEFT(الصنف[[#This Row],[تصنيف فرعي (1)]],2)</f>
        <v>12</v>
      </c>
      <c r="J79" s="1" t="s">
        <v>663</v>
      </c>
      <c r="K79" s="1">
        <f>VLOOKUP(الصنف[[#This Row],[وحده القياس]],$S$4:$T$67,2,TRUE)</f>
        <v>60</v>
      </c>
      <c r="L79" s="1" t="s">
        <v>686</v>
      </c>
      <c r="M79" s="1">
        <v>1000</v>
      </c>
      <c r="N79" s="6" t="s">
        <v>678</v>
      </c>
      <c r="O79" s="7">
        <v>208</v>
      </c>
      <c r="P79" s="9">
        <f>IF(الصنف[[#This Row],[وحده المكونات]]="جرام",1,0)</f>
        <v>1</v>
      </c>
    </row>
    <row r="80" spans="2:20" ht="20.100000000000001" customHeight="1" x14ac:dyDescent="0.2">
      <c r="B80" s="4">
        <v>78</v>
      </c>
      <c r="C80" s="4">
        <v>1201018</v>
      </c>
      <c r="D80" s="2" t="s">
        <v>248</v>
      </c>
      <c r="E80" s="2" t="s">
        <v>248</v>
      </c>
      <c r="G80" s="1" t="str">
        <f>LEFT(الصنف[[#This Row],[تصنيف فرعي (2)]],4)</f>
        <v>1201</v>
      </c>
      <c r="H80" s="5" t="s">
        <v>986</v>
      </c>
      <c r="I80" s="5" t="str">
        <f>LEFT(الصنف[[#This Row],[تصنيف فرعي (1)]],2)</f>
        <v>12</v>
      </c>
      <c r="J80" s="1" t="s">
        <v>663</v>
      </c>
      <c r="K80" s="1">
        <f>VLOOKUP(الصنف[[#This Row],[وحده القياس]],$S$4:$T$67,2,TRUE)</f>
        <v>31</v>
      </c>
      <c r="L80" s="1" t="s">
        <v>918</v>
      </c>
      <c r="M80" s="1">
        <v>5</v>
      </c>
      <c r="N80" s="6" t="s">
        <v>742</v>
      </c>
      <c r="O80" s="7"/>
      <c r="P80" s="9">
        <f>IF(الصنف[[#This Row],[وحده المكونات]]="جرام",1,0)</f>
        <v>0</v>
      </c>
    </row>
    <row r="81" spans="2:16" ht="20.100000000000001" customHeight="1" x14ac:dyDescent="0.2">
      <c r="B81" s="4">
        <v>79</v>
      </c>
      <c r="C81" s="4">
        <v>1202001</v>
      </c>
      <c r="D81" s="2" t="s">
        <v>246</v>
      </c>
      <c r="E81" s="2" t="s">
        <v>246</v>
      </c>
      <c r="G81" s="1" t="str">
        <f>LEFT(الصنف[[#This Row],[تصنيف فرعي (2)]],4)</f>
        <v>1202</v>
      </c>
      <c r="H81" s="5" t="s">
        <v>987</v>
      </c>
      <c r="I81" s="5" t="str">
        <f>LEFT(الصنف[[#This Row],[تصنيف فرعي (1)]],2)</f>
        <v>12</v>
      </c>
      <c r="J81" s="1" t="s">
        <v>663</v>
      </c>
      <c r="K81" s="1">
        <f>VLOOKUP(الصنف[[#This Row],[وحده القياس]],$S$4:$T$67,2,TRUE)</f>
        <v>43</v>
      </c>
      <c r="L81" s="1" t="s">
        <v>742</v>
      </c>
      <c r="M81" s="1">
        <v>1</v>
      </c>
      <c r="N81" s="6" t="s">
        <v>742</v>
      </c>
      <c r="O81" s="7">
        <v>95</v>
      </c>
      <c r="P81" s="9">
        <f>IF(الصنف[[#This Row],[وحده المكونات]]="جرام",1,0)</f>
        <v>0</v>
      </c>
    </row>
    <row r="82" spans="2:16" ht="20.100000000000001" customHeight="1" x14ac:dyDescent="0.2">
      <c r="B82" s="4">
        <v>80</v>
      </c>
      <c r="C82" s="4">
        <v>1202002</v>
      </c>
      <c r="D82" s="2" t="s">
        <v>245</v>
      </c>
      <c r="E82" s="2" t="s">
        <v>245</v>
      </c>
      <c r="G82" s="1" t="str">
        <f>LEFT(الصنف[[#This Row],[تصنيف فرعي (2)]],4)</f>
        <v>1202</v>
      </c>
      <c r="H82" s="5" t="s">
        <v>987</v>
      </c>
      <c r="I82" s="5" t="str">
        <f>LEFT(الصنف[[#This Row],[تصنيف فرعي (1)]],2)</f>
        <v>12</v>
      </c>
      <c r="J82" s="1" t="s">
        <v>663</v>
      </c>
      <c r="K82" s="1">
        <f>VLOOKUP(الصنف[[#This Row],[وحده القياس]],$S$4:$T$67,2,TRUE)</f>
        <v>43</v>
      </c>
      <c r="L82" s="1" t="s">
        <v>742</v>
      </c>
      <c r="M82" s="1">
        <v>1</v>
      </c>
      <c r="N82" s="6" t="s">
        <v>742</v>
      </c>
      <c r="O82" s="7">
        <v>95</v>
      </c>
      <c r="P82" s="9">
        <f>IF(الصنف[[#This Row],[وحده المكونات]]="جرام",1,0)</f>
        <v>0</v>
      </c>
    </row>
    <row r="83" spans="2:16" ht="20.100000000000001" customHeight="1" x14ac:dyDescent="0.2">
      <c r="B83" s="4">
        <v>81</v>
      </c>
      <c r="C83" s="4">
        <v>1202003</v>
      </c>
      <c r="D83" s="2" t="s">
        <v>483</v>
      </c>
      <c r="E83" s="2" t="s">
        <v>483</v>
      </c>
      <c r="G83" s="1" t="str">
        <f>LEFT(الصنف[[#This Row],[تصنيف فرعي (2)]],4)</f>
        <v>1202</v>
      </c>
      <c r="H83" s="5" t="s">
        <v>987</v>
      </c>
      <c r="I83" s="5" t="str">
        <f>LEFT(الصنف[[#This Row],[تصنيف فرعي (1)]],2)</f>
        <v>12</v>
      </c>
      <c r="J83" s="1" t="s">
        <v>663</v>
      </c>
      <c r="K83" s="1">
        <f>VLOOKUP(الصنف[[#This Row],[وحده القياس]],$S$4:$T$67,2,TRUE)</f>
        <v>43</v>
      </c>
      <c r="L83" s="1" t="s">
        <v>742</v>
      </c>
      <c r="M83" s="1">
        <v>1</v>
      </c>
      <c r="N83" s="6" t="s">
        <v>742</v>
      </c>
      <c r="O83" s="7">
        <v>95</v>
      </c>
      <c r="P83" s="9">
        <f>IF(الصنف[[#This Row],[وحده المكونات]]="جرام",1,0)</f>
        <v>0</v>
      </c>
    </row>
    <row r="84" spans="2:16" ht="20.100000000000001" customHeight="1" x14ac:dyDescent="0.2">
      <c r="B84" s="4">
        <v>82</v>
      </c>
      <c r="C84" s="4">
        <v>1203001</v>
      </c>
      <c r="D84" s="2" t="s">
        <v>240</v>
      </c>
      <c r="E84" s="2" t="s">
        <v>876</v>
      </c>
      <c r="G84" s="1" t="str">
        <f>LEFT(الصنف[[#This Row],[تصنيف فرعي (2)]],4)</f>
        <v>1203</v>
      </c>
      <c r="H84" s="5" t="s">
        <v>988</v>
      </c>
      <c r="I84" s="5" t="str">
        <f>LEFT(الصنف[[#This Row],[تصنيف فرعي (1)]],2)</f>
        <v>12</v>
      </c>
      <c r="J84" s="1" t="s">
        <v>663</v>
      </c>
      <c r="K84" s="1">
        <f>VLOOKUP(الصنف[[#This Row],[وحده القياس]],$S$4:$T$67,2,TRUE)</f>
        <v>43</v>
      </c>
      <c r="L84" s="1" t="s">
        <v>742</v>
      </c>
      <c r="M84" s="1">
        <v>1</v>
      </c>
      <c r="N84" s="6" t="s">
        <v>742</v>
      </c>
      <c r="O84" s="7">
        <v>315</v>
      </c>
      <c r="P84" s="9">
        <f>IF(الصنف[[#This Row],[وحده المكونات]]="جرام",1,0)</f>
        <v>0</v>
      </c>
    </row>
    <row r="85" spans="2:16" ht="20.100000000000001" customHeight="1" x14ac:dyDescent="0.2">
      <c r="B85" s="4">
        <v>83</v>
      </c>
      <c r="C85" s="4">
        <v>1204001</v>
      </c>
      <c r="D85" s="2" t="s">
        <v>251</v>
      </c>
      <c r="E85" s="2" t="s">
        <v>875</v>
      </c>
      <c r="G85" s="1" t="str">
        <f>LEFT(الصنف[[#This Row],[تصنيف فرعي (2)]],4)</f>
        <v>1204</v>
      </c>
      <c r="H85" s="5" t="s">
        <v>989</v>
      </c>
      <c r="I85" s="5" t="str">
        <f>LEFT(الصنف[[#This Row],[تصنيف فرعي (1)]],2)</f>
        <v>12</v>
      </c>
      <c r="J85" s="1" t="s">
        <v>663</v>
      </c>
      <c r="K85" s="1">
        <f>VLOOKUP(الصنف[[#This Row],[وحده القياس]],$S$4:$T$67,2,TRUE)</f>
        <v>60</v>
      </c>
      <c r="L85" s="1" t="s">
        <v>686</v>
      </c>
      <c r="M85" s="1">
        <v>1000</v>
      </c>
      <c r="N85" s="6" t="s">
        <v>678</v>
      </c>
      <c r="O85" s="7">
        <v>230</v>
      </c>
      <c r="P85" s="9">
        <f>IF(الصنف[[#This Row],[وحده المكونات]]="جرام",1,0)</f>
        <v>1</v>
      </c>
    </row>
    <row r="86" spans="2:16" ht="20.100000000000001" customHeight="1" x14ac:dyDescent="0.2">
      <c r="B86" s="4">
        <v>84</v>
      </c>
      <c r="C86" s="4">
        <v>1301001</v>
      </c>
      <c r="D86" s="2" t="s">
        <v>953</v>
      </c>
      <c r="E86" s="2" t="s">
        <v>31</v>
      </c>
      <c r="G86" s="1" t="str">
        <f>LEFT(الصنف[[#This Row],[تصنيف فرعي (2)]],4)</f>
        <v>1301</v>
      </c>
      <c r="H86" s="5" t="s">
        <v>990</v>
      </c>
      <c r="I86" s="5" t="str">
        <f>LEFT(الصنف[[#This Row],[تصنيف فرعي (1)]],2)</f>
        <v>13</v>
      </c>
      <c r="J86" s="1" t="s">
        <v>664</v>
      </c>
      <c r="K86" s="1">
        <f>VLOOKUP(الصنف[[#This Row],[وحده القياس]],$S$4:$T$67,2,TRUE)</f>
        <v>56</v>
      </c>
      <c r="L86" s="1" t="s">
        <v>762</v>
      </c>
      <c r="M86" s="1">
        <v>400</v>
      </c>
      <c r="N86" s="6" t="s">
        <v>678</v>
      </c>
      <c r="O86" s="7"/>
      <c r="P86" s="9">
        <f>IF(الصنف[[#This Row],[وحده المكونات]]="جرام",1,0)</f>
        <v>1</v>
      </c>
    </row>
    <row r="87" spans="2:16" ht="20.100000000000001" customHeight="1" x14ac:dyDescent="0.2">
      <c r="B87" s="4">
        <v>85</v>
      </c>
      <c r="C87" s="4">
        <v>1301002</v>
      </c>
      <c r="D87" s="2" t="s">
        <v>33</v>
      </c>
      <c r="E87" s="2" t="s">
        <v>33</v>
      </c>
      <c r="G87" s="1" t="str">
        <f>LEFT(الصنف[[#This Row],[تصنيف فرعي (2)]],4)</f>
        <v>1301</v>
      </c>
      <c r="H87" s="5" t="s">
        <v>990</v>
      </c>
      <c r="I87" s="5" t="str">
        <f>LEFT(الصنف[[#This Row],[تصنيف فرعي (1)]],2)</f>
        <v>13</v>
      </c>
      <c r="J87" s="1" t="s">
        <v>664</v>
      </c>
      <c r="K87" s="1">
        <f>VLOOKUP(الصنف[[#This Row],[وحده القياس]],$S$4:$T$67,2,TRUE)</f>
        <v>63</v>
      </c>
      <c r="L87" s="1" t="s">
        <v>941</v>
      </c>
      <c r="M87" s="1">
        <v>500</v>
      </c>
      <c r="N87" s="6" t="s">
        <v>678</v>
      </c>
      <c r="O87" s="7"/>
      <c r="P87" s="9">
        <f>IF(الصنف[[#This Row],[وحده المكونات]]="جرام",1,0)</f>
        <v>1</v>
      </c>
    </row>
    <row r="88" spans="2:16" ht="20.100000000000001" customHeight="1" x14ac:dyDescent="0.2">
      <c r="B88" s="4">
        <v>86</v>
      </c>
      <c r="C88" s="4">
        <v>1301003</v>
      </c>
      <c r="D88" s="2" t="s">
        <v>305</v>
      </c>
      <c r="E88" s="2" t="s">
        <v>305</v>
      </c>
      <c r="G88" s="1" t="str">
        <f>LEFT(الصنف[[#This Row],[تصنيف فرعي (2)]],4)</f>
        <v>1301</v>
      </c>
      <c r="H88" s="5" t="s">
        <v>990</v>
      </c>
      <c r="I88" s="5" t="str">
        <f>LEFT(الصنف[[#This Row],[تصنيف فرعي (1)]],2)</f>
        <v>13</v>
      </c>
      <c r="J88" s="1" t="s">
        <v>664</v>
      </c>
      <c r="K88" s="1">
        <f>VLOOKUP(الصنف[[#This Row],[وحده القياس]],$S$4:$T$67,2,TRUE)</f>
        <v>60</v>
      </c>
      <c r="L88" s="1" t="s">
        <v>686</v>
      </c>
      <c r="M88" s="1">
        <v>1000</v>
      </c>
      <c r="N88" s="6" t="s">
        <v>678</v>
      </c>
      <c r="O88" s="7"/>
      <c r="P88" s="9">
        <f>IF(الصنف[[#This Row],[وحده المكونات]]="جرام",1,0)</f>
        <v>1</v>
      </c>
    </row>
    <row r="89" spans="2:16" ht="20.100000000000001" customHeight="1" x14ac:dyDescent="0.2">
      <c r="B89" s="4">
        <v>87</v>
      </c>
      <c r="C89" s="4">
        <v>1301004</v>
      </c>
      <c r="D89" s="2" t="s">
        <v>490</v>
      </c>
      <c r="E89" s="2" t="s">
        <v>490</v>
      </c>
      <c r="G89" s="1" t="str">
        <f>LEFT(الصنف[[#This Row],[تصنيف فرعي (2)]],4)</f>
        <v>1301</v>
      </c>
      <c r="H89" s="5" t="s">
        <v>990</v>
      </c>
      <c r="I89" s="5" t="str">
        <f>LEFT(الصنف[[#This Row],[تصنيف فرعي (1)]],2)</f>
        <v>13</v>
      </c>
      <c r="J89" s="1" t="s">
        <v>664</v>
      </c>
      <c r="K89" s="1">
        <f>VLOOKUP(الصنف[[#This Row],[وحده القياس]],$S$4:$T$67,2,TRUE)</f>
        <v>15</v>
      </c>
      <c r="L89" s="1" t="s">
        <v>776</v>
      </c>
      <c r="M89" s="1">
        <v>1000</v>
      </c>
      <c r="N89" s="6" t="s">
        <v>743</v>
      </c>
      <c r="O89" s="7"/>
      <c r="P89" s="9">
        <f>IF(الصنف[[#This Row],[وحده المكونات]]="جرام",1,0)</f>
        <v>0</v>
      </c>
    </row>
    <row r="90" spans="2:16" ht="20.100000000000001" customHeight="1" x14ac:dyDescent="0.2">
      <c r="B90" s="4">
        <v>88</v>
      </c>
      <c r="C90" s="4">
        <v>1301005</v>
      </c>
      <c r="D90" s="2" t="s">
        <v>491</v>
      </c>
      <c r="E90" s="2" t="s">
        <v>491</v>
      </c>
      <c r="G90" s="1" t="str">
        <f>LEFT(الصنف[[#This Row],[تصنيف فرعي (2)]],4)</f>
        <v>1301</v>
      </c>
      <c r="H90" s="5" t="s">
        <v>990</v>
      </c>
      <c r="I90" s="5" t="str">
        <f>LEFT(الصنف[[#This Row],[تصنيف فرعي (1)]],2)</f>
        <v>13</v>
      </c>
      <c r="J90" s="1" t="s">
        <v>664</v>
      </c>
      <c r="K90" s="1">
        <f>VLOOKUP(الصنف[[#This Row],[وحده القياس]],$S$4:$T$67,2,TRUE)</f>
        <v>15</v>
      </c>
      <c r="L90" s="1" t="s">
        <v>776</v>
      </c>
      <c r="M90" s="1">
        <v>1000</v>
      </c>
      <c r="N90" s="6" t="s">
        <v>743</v>
      </c>
      <c r="O90" s="7"/>
      <c r="P90" s="9">
        <f>IF(الصنف[[#This Row],[وحده المكونات]]="جرام",1,0)</f>
        <v>0</v>
      </c>
    </row>
    <row r="91" spans="2:16" ht="20.100000000000001" customHeight="1" x14ac:dyDescent="0.2">
      <c r="B91" s="4">
        <v>89</v>
      </c>
      <c r="C91" s="4">
        <v>1301006</v>
      </c>
      <c r="D91" s="2" t="s">
        <v>332</v>
      </c>
      <c r="E91" s="2" t="s">
        <v>332</v>
      </c>
      <c r="G91" s="1" t="str">
        <f>LEFT(الصنف[[#This Row],[تصنيف فرعي (2)]],4)</f>
        <v>1301</v>
      </c>
      <c r="H91" s="5" t="s">
        <v>990</v>
      </c>
      <c r="I91" s="5" t="str">
        <f>LEFT(الصنف[[#This Row],[تصنيف فرعي (1)]],2)</f>
        <v>13</v>
      </c>
      <c r="J91" s="1" t="s">
        <v>664</v>
      </c>
      <c r="K91" s="1">
        <f>VLOOKUP(الصنف[[#This Row],[وحده القياس]],$S$4:$T$67,2,TRUE)</f>
        <v>48</v>
      </c>
      <c r="L91" s="1" t="s">
        <v>922</v>
      </c>
      <c r="M91" s="1">
        <v>24</v>
      </c>
      <c r="N91" s="6" t="s">
        <v>742</v>
      </c>
      <c r="O91" s="7"/>
      <c r="P91" s="9">
        <f>IF(الصنف[[#This Row],[وحده المكونات]]="جرام",1,0)</f>
        <v>0</v>
      </c>
    </row>
    <row r="92" spans="2:16" ht="20.100000000000001" customHeight="1" x14ac:dyDescent="0.2">
      <c r="B92" s="4">
        <v>90</v>
      </c>
      <c r="C92" s="4">
        <v>1301007</v>
      </c>
      <c r="D92" s="2" t="s">
        <v>402</v>
      </c>
      <c r="E92" s="2" t="s">
        <v>402</v>
      </c>
      <c r="G92" s="1" t="str">
        <f>LEFT(الصنف[[#This Row],[تصنيف فرعي (2)]],4)</f>
        <v>1301</v>
      </c>
      <c r="H92" s="5" t="s">
        <v>990</v>
      </c>
      <c r="I92" s="5" t="str">
        <f>LEFT(الصنف[[#This Row],[تصنيف فرعي (1)]],2)</f>
        <v>13</v>
      </c>
      <c r="J92" s="1" t="s">
        <v>664</v>
      </c>
      <c r="K92" s="1">
        <f>VLOOKUP(الصنف[[#This Row],[وحده القياس]],$S$4:$T$67,2,TRUE)</f>
        <v>15</v>
      </c>
      <c r="L92" s="1" t="s">
        <v>776</v>
      </c>
      <c r="M92" s="1">
        <v>1000</v>
      </c>
      <c r="N92" s="6" t="s">
        <v>743</v>
      </c>
      <c r="O92" s="7"/>
      <c r="P92" s="9">
        <f>IF(الصنف[[#This Row],[وحده المكونات]]="جرام",1,0)</f>
        <v>0</v>
      </c>
    </row>
    <row r="93" spans="2:16" ht="20.100000000000001" customHeight="1" x14ac:dyDescent="0.2">
      <c r="B93" s="4">
        <v>91</v>
      </c>
      <c r="C93" s="4">
        <v>1301008</v>
      </c>
      <c r="D93" s="2" t="s">
        <v>34</v>
      </c>
      <c r="E93" s="2" t="s">
        <v>34</v>
      </c>
      <c r="G93" s="1" t="str">
        <f>LEFT(الصنف[[#This Row],[تصنيف فرعي (2)]],4)</f>
        <v>1301</v>
      </c>
      <c r="H93" s="5" t="s">
        <v>990</v>
      </c>
      <c r="I93" s="5" t="str">
        <f>LEFT(الصنف[[#This Row],[تصنيف فرعي (1)]],2)</f>
        <v>13</v>
      </c>
      <c r="J93" s="1" t="s">
        <v>664</v>
      </c>
      <c r="K93" s="1">
        <f>VLOOKUP(الصنف[[#This Row],[وحده القياس]],$S$4:$T$67,2,TRUE)</f>
        <v>60</v>
      </c>
      <c r="L93" s="1" t="s">
        <v>686</v>
      </c>
      <c r="M93" s="1">
        <v>1000</v>
      </c>
      <c r="N93" s="6" t="s">
        <v>678</v>
      </c>
      <c r="O93" s="7"/>
      <c r="P93" s="9">
        <f>IF(الصنف[[#This Row],[وحده المكونات]]="جرام",1,0)</f>
        <v>1</v>
      </c>
    </row>
    <row r="94" spans="2:16" ht="20.100000000000001" customHeight="1" x14ac:dyDescent="0.2">
      <c r="B94" s="4">
        <v>92</v>
      </c>
      <c r="C94" s="4">
        <v>1301009</v>
      </c>
      <c r="D94" s="2" t="s">
        <v>744</v>
      </c>
      <c r="E94" s="2" t="s">
        <v>744</v>
      </c>
      <c r="G94" s="1" t="str">
        <f>LEFT(الصنف[[#This Row],[تصنيف فرعي (2)]],4)</f>
        <v>1301</v>
      </c>
      <c r="H94" s="5" t="s">
        <v>990</v>
      </c>
      <c r="I94" s="5" t="str">
        <f>LEFT(الصنف[[#This Row],[تصنيف فرعي (1)]],2)</f>
        <v>13</v>
      </c>
      <c r="J94" s="1" t="s">
        <v>664</v>
      </c>
      <c r="K94" s="1">
        <f>VLOOKUP(الصنف[[#This Row],[وحده القياس]],$S$4:$T$67,2,TRUE)</f>
        <v>19</v>
      </c>
      <c r="L94" s="1" t="s">
        <v>746</v>
      </c>
      <c r="M94" s="1">
        <v>480</v>
      </c>
      <c r="N94" s="6" t="s">
        <v>678</v>
      </c>
      <c r="O94" s="7"/>
      <c r="P94" s="9">
        <f>IF(الصنف[[#This Row],[وحده المكونات]]="جرام",1,0)</f>
        <v>1</v>
      </c>
    </row>
    <row r="95" spans="2:16" ht="20.100000000000001" customHeight="1" x14ac:dyDescent="0.2">
      <c r="B95" s="4">
        <v>93</v>
      </c>
      <c r="C95" s="4">
        <v>1301010</v>
      </c>
      <c r="D95" s="2" t="s">
        <v>24</v>
      </c>
      <c r="E95" s="2" t="s">
        <v>24</v>
      </c>
      <c r="G95" s="1" t="str">
        <f>LEFT(الصنف[[#This Row],[تصنيف فرعي (2)]],4)</f>
        <v>1301</v>
      </c>
      <c r="H95" s="5" t="s">
        <v>990</v>
      </c>
      <c r="I95" s="5" t="str">
        <f>LEFT(الصنف[[#This Row],[تصنيف فرعي (1)]],2)</f>
        <v>13</v>
      </c>
      <c r="J95" s="1" t="s">
        <v>664</v>
      </c>
      <c r="K95" s="1">
        <f>VLOOKUP(الصنف[[#This Row],[وحده القياس]],$S$4:$T$67,2,TRUE)</f>
        <v>41</v>
      </c>
      <c r="L95" s="1" t="s">
        <v>745</v>
      </c>
      <c r="M95" s="1">
        <v>800</v>
      </c>
      <c r="N95" s="6" t="s">
        <v>678</v>
      </c>
      <c r="O95" s="7"/>
      <c r="P95" s="9">
        <f>IF(الصنف[[#This Row],[وحده المكونات]]="جرام",1,0)</f>
        <v>1</v>
      </c>
    </row>
    <row r="96" spans="2:16" ht="20.100000000000001" customHeight="1" x14ac:dyDescent="0.2">
      <c r="B96" s="4">
        <v>94</v>
      </c>
      <c r="C96" s="4">
        <v>1301011</v>
      </c>
      <c r="D96" s="2" t="s">
        <v>25</v>
      </c>
      <c r="E96" s="2" t="s">
        <v>878</v>
      </c>
      <c r="G96" s="1" t="str">
        <f>LEFT(الصنف[[#This Row],[تصنيف فرعي (2)]],4)</f>
        <v>1301</v>
      </c>
      <c r="H96" s="5" t="s">
        <v>990</v>
      </c>
      <c r="I96" s="5" t="str">
        <f>LEFT(الصنف[[#This Row],[تصنيف فرعي (1)]],2)</f>
        <v>13</v>
      </c>
      <c r="J96" s="1" t="s">
        <v>664</v>
      </c>
      <c r="K96" s="1">
        <f>VLOOKUP(الصنف[[#This Row],[وحده القياس]],$S$4:$T$67,2,TRUE)</f>
        <v>15</v>
      </c>
      <c r="L96" s="1" t="s">
        <v>776</v>
      </c>
      <c r="M96" s="1">
        <v>1000</v>
      </c>
      <c r="N96" s="6" t="s">
        <v>743</v>
      </c>
      <c r="O96" s="7"/>
      <c r="P96" s="9">
        <f>IF(الصنف[[#This Row],[وحده المكونات]]="جرام",1,0)</f>
        <v>0</v>
      </c>
    </row>
    <row r="97" spans="2:16" ht="20.100000000000001" customHeight="1" x14ac:dyDescent="0.2">
      <c r="B97" s="4">
        <v>95</v>
      </c>
      <c r="C97" s="4">
        <v>1301012</v>
      </c>
      <c r="D97" s="2" t="s">
        <v>813</v>
      </c>
      <c r="E97" s="2" t="s">
        <v>688</v>
      </c>
      <c r="G97" s="1" t="str">
        <f>LEFT(الصنف[[#This Row],[تصنيف فرعي (2)]],4)</f>
        <v>1301</v>
      </c>
      <c r="H97" s="5" t="s">
        <v>990</v>
      </c>
      <c r="I97" s="5" t="str">
        <f>LEFT(الصنف[[#This Row],[تصنيف فرعي (1)]],2)</f>
        <v>13</v>
      </c>
      <c r="J97" s="1" t="s">
        <v>664</v>
      </c>
      <c r="K97" s="1">
        <f>VLOOKUP(الصنف[[#This Row],[وحده القياس]],$S$4:$T$67,2,TRUE)</f>
        <v>8</v>
      </c>
      <c r="L97" s="1" t="s">
        <v>689</v>
      </c>
      <c r="M97" s="1">
        <v>18000</v>
      </c>
      <c r="N97" s="6" t="s">
        <v>678</v>
      </c>
      <c r="O97" s="7"/>
      <c r="P97" s="9">
        <f>IF(الصنف[[#This Row],[وحده المكونات]]="جرام",1,0)</f>
        <v>1</v>
      </c>
    </row>
    <row r="98" spans="2:16" ht="20.100000000000001" customHeight="1" x14ac:dyDescent="0.2">
      <c r="B98" s="4">
        <v>96</v>
      </c>
      <c r="C98" s="4">
        <v>1301013</v>
      </c>
      <c r="D98" s="2" t="s">
        <v>781</v>
      </c>
      <c r="E98" s="2" t="s">
        <v>26</v>
      </c>
      <c r="G98" s="1" t="str">
        <f>LEFT(الصنف[[#This Row],[تصنيف فرعي (2)]],4)</f>
        <v>1301</v>
      </c>
      <c r="H98" s="5" t="s">
        <v>990</v>
      </c>
      <c r="I98" s="5" t="str">
        <f>LEFT(الصنف[[#This Row],[تصنيف فرعي (1)]],2)</f>
        <v>13</v>
      </c>
      <c r="J98" s="1" t="s">
        <v>664</v>
      </c>
      <c r="K98" s="1">
        <f>VLOOKUP(الصنف[[#This Row],[وحده القياس]],$S$4:$T$67,2,TRUE)</f>
        <v>47</v>
      </c>
      <c r="L98" s="1" t="s">
        <v>747</v>
      </c>
      <c r="M98" s="1">
        <v>1000</v>
      </c>
      <c r="N98" s="6" t="s">
        <v>921</v>
      </c>
      <c r="O98" s="7"/>
      <c r="P98" s="9">
        <f>IF(الصنف[[#This Row],[وحده المكونات]]="جرام",1,0)</f>
        <v>0</v>
      </c>
    </row>
    <row r="99" spans="2:16" ht="20.100000000000001" customHeight="1" x14ac:dyDescent="0.2">
      <c r="B99" s="4">
        <v>97</v>
      </c>
      <c r="C99" s="4">
        <v>1301014</v>
      </c>
      <c r="D99" s="2" t="s">
        <v>312</v>
      </c>
      <c r="E99" s="2" t="s">
        <v>312</v>
      </c>
      <c r="G99" s="1" t="str">
        <f>LEFT(الصنف[[#This Row],[تصنيف فرعي (2)]],4)</f>
        <v>1301</v>
      </c>
      <c r="H99" s="5" t="s">
        <v>990</v>
      </c>
      <c r="I99" s="5" t="str">
        <f>LEFT(الصنف[[#This Row],[تصنيف فرعي (1)]],2)</f>
        <v>13</v>
      </c>
      <c r="J99" s="1" t="s">
        <v>664</v>
      </c>
      <c r="K99" s="1">
        <f>VLOOKUP(الصنف[[#This Row],[وحده القياس]],$S$4:$T$67,2,TRUE)</f>
        <v>33</v>
      </c>
      <c r="L99" s="1" t="s">
        <v>382</v>
      </c>
      <c r="M99" s="1">
        <v>1</v>
      </c>
      <c r="N99" s="6" t="s">
        <v>382</v>
      </c>
      <c r="O99" s="7"/>
      <c r="P99" s="9">
        <f>IF(الصنف[[#This Row],[وحده المكونات]]="جرام",1,0)</f>
        <v>0</v>
      </c>
    </row>
    <row r="100" spans="2:16" ht="20.100000000000001" customHeight="1" x14ac:dyDescent="0.2">
      <c r="B100" s="4">
        <v>98</v>
      </c>
      <c r="C100" s="4">
        <v>1301015</v>
      </c>
      <c r="D100" s="2" t="s">
        <v>782</v>
      </c>
      <c r="E100" s="2" t="s">
        <v>783</v>
      </c>
      <c r="G100" s="1" t="str">
        <f>LEFT(الصنف[[#This Row],[تصنيف فرعي (2)]],4)</f>
        <v>1301</v>
      </c>
      <c r="H100" s="5" t="s">
        <v>990</v>
      </c>
      <c r="I100" s="5" t="str">
        <f>LEFT(الصنف[[#This Row],[تصنيف فرعي (1)]],2)</f>
        <v>13</v>
      </c>
      <c r="J100" s="1" t="s">
        <v>664</v>
      </c>
      <c r="K100" s="1">
        <f>VLOOKUP(الصنف[[#This Row],[وحده القياس]],$S$4:$T$67,2,TRUE)</f>
        <v>9</v>
      </c>
      <c r="L100" s="1" t="s">
        <v>687</v>
      </c>
      <c r="M100" s="1">
        <v>3290</v>
      </c>
      <c r="N100" s="6" t="s">
        <v>678</v>
      </c>
      <c r="O100" s="7"/>
      <c r="P100" s="9">
        <f>IF(الصنف[[#This Row],[وحده المكونات]]="جرام",1,0)</f>
        <v>1</v>
      </c>
    </row>
    <row r="101" spans="2:16" ht="20.100000000000001" customHeight="1" x14ac:dyDescent="0.2">
      <c r="B101" s="4">
        <v>99</v>
      </c>
      <c r="C101" s="4">
        <v>1301016</v>
      </c>
      <c r="D101" s="2" t="s">
        <v>403</v>
      </c>
      <c r="E101" s="2" t="s">
        <v>403</v>
      </c>
      <c r="G101" s="1" t="str">
        <f>LEFT(الصنف[[#This Row],[تصنيف فرعي (2)]],4)</f>
        <v>1301</v>
      </c>
      <c r="H101" s="5" t="s">
        <v>990</v>
      </c>
      <c r="I101" s="5" t="str">
        <f>LEFT(الصنف[[#This Row],[تصنيف فرعي (1)]],2)</f>
        <v>13</v>
      </c>
      <c r="J101" s="1" t="s">
        <v>664</v>
      </c>
      <c r="K101" s="1">
        <f>VLOOKUP(الصنف[[#This Row],[وحده القياس]],$S$4:$T$67,2,TRUE)</f>
        <v>20</v>
      </c>
      <c r="L101" s="1" t="s">
        <v>942</v>
      </c>
      <c r="M101" s="1">
        <v>500</v>
      </c>
      <c r="N101" s="6" t="s">
        <v>678</v>
      </c>
      <c r="O101" s="7"/>
      <c r="P101" s="9">
        <f>IF(الصنف[[#This Row],[وحده المكونات]]="جرام",1,0)</f>
        <v>1</v>
      </c>
    </row>
    <row r="102" spans="2:16" ht="20.100000000000001" customHeight="1" x14ac:dyDescent="0.2">
      <c r="B102" s="4">
        <v>100</v>
      </c>
      <c r="C102" s="4">
        <v>1301017</v>
      </c>
      <c r="D102" s="2" t="s">
        <v>602</v>
      </c>
      <c r="E102" s="2" t="s">
        <v>602</v>
      </c>
      <c r="G102" s="1" t="str">
        <f>LEFT(الصنف[[#This Row],[تصنيف فرعي (2)]],4)</f>
        <v>1301</v>
      </c>
      <c r="H102" s="5" t="s">
        <v>990</v>
      </c>
      <c r="I102" s="5" t="str">
        <f>LEFT(الصنف[[#This Row],[تصنيف فرعي (1)]],2)</f>
        <v>13</v>
      </c>
      <c r="J102" s="1" t="s">
        <v>664</v>
      </c>
      <c r="K102" s="1">
        <f>VLOOKUP(الصنف[[#This Row],[وحده القياس]],$S$4:$T$67,2,TRUE)</f>
        <v>17</v>
      </c>
      <c r="L102" s="1" t="s">
        <v>786</v>
      </c>
      <c r="M102" s="1">
        <v>235</v>
      </c>
      <c r="N102" s="6" t="s">
        <v>678</v>
      </c>
      <c r="O102" s="7"/>
      <c r="P102" s="9">
        <f>IF(الصنف[[#This Row],[وحده المكونات]]="جرام",1,0)</f>
        <v>1</v>
      </c>
    </row>
    <row r="103" spans="2:16" ht="20.100000000000001" customHeight="1" x14ac:dyDescent="0.2">
      <c r="B103" s="4">
        <v>101</v>
      </c>
      <c r="C103" s="4">
        <v>1301018</v>
      </c>
      <c r="D103" s="2" t="s">
        <v>601</v>
      </c>
      <c r="E103" s="2" t="s">
        <v>601</v>
      </c>
      <c r="G103" s="1" t="str">
        <f>LEFT(الصنف[[#This Row],[تصنيف فرعي (2)]],4)</f>
        <v>1301</v>
      </c>
      <c r="H103" s="5" t="s">
        <v>990</v>
      </c>
      <c r="I103" s="5" t="str">
        <f>LEFT(الصنف[[#This Row],[تصنيف فرعي (1)]],2)</f>
        <v>13</v>
      </c>
      <c r="J103" s="1" t="s">
        <v>664</v>
      </c>
      <c r="K103" s="1">
        <f>VLOOKUP(الصنف[[#This Row],[وحده القياس]],$S$4:$T$67,2,TRUE)</f>
        <v>38</v>
      </c>
      <c r="L103" s="1" t="s">
        <v>755</v>
      </c>
      <c r="M103" s="1">
        <v>400</v>
      </c>
      <c r="N103" s="6" t="s">
        <v>678</v>
      </c>
      <c r="O103" s="7"/>
      <c r="P103" s="9">
        <f>IF(الصنف[[#This Row],[وحده المكونات]]="جرام",1,0)</f>
        <v>1</v>
      </c>
    </row>
    <row r="104" spans="2:16" ht="20.100000000000001" customHeight="1" x14ac:dyDescent="0.2">
      <c r="B104" s="4">
        <v>102</v>
      </c>
      <c r="C104" s="4">
        <v>1301019</v>
      </c>
      <c r="D104" s="2" t="s">
        <v>27</v>
      </c>
      <c r="E104" s="2" t="s">
        <v>27</v>
      </c>
      <c r="G104" s="1" t="str">
        <f>LEFT(الصنف[[#This Row],[تصنيف فرعي (2)]],4)</f>
        <v>1301</v>
      </c>
      <c r="H104" s="5" t="s">
        <v>990</v>
      </c>
      <c r="I104" s="5" t="str">
        <f>LEFT(الصنف[[#This Row],[تصنيف فرعي (1)]],2)</f>
        <v>13</v>
      </c>
      <c r="J104" s="1" t="s">
        <v>664</v>
      </c>
      <c r="K104" s="1">
        <f>VLOOKUP(الصنف[[#This Row],[وحده القياس]],$S$4:$T$67,2,TRUE)</f>
        <v>16</v>
      </c>
      <c r="L104" s="1" t="s">
        <v>879</v>
      </c>
      <c r="M104" s="1">
        <v>165</v>
      </c>
      <c r="N104" s="6" t="s">
        <v>678</v>
      </c>
      <c r="O104" s="7"/>
      <c r="P104" s="9">
        <f>IF(الصنف[[#This Row],[وحده المكونات]]="جرام",1,0)</f>
        <v>1</v>
      </c>
    </row>
    <row r="105" spans="2:16" ht="20.100000000000001" customHeight="1" x14ac:dyDescent="0.2">
      <c r="B105" s="4">
        <v>103</v>
      </c>
      <c r="C105" s="4">
        <v>1302001</v>
      </c>
      <c r="D105" s="2" t="s">
        <v>44</v>
      </c>
      <c r="E105" s="2" t="s">
        <v>44</v>
      </c>
      <c r="G105" s="1" t="str">
        <f>LEFT(الصنف[[#This Row],[تصنيف فرعي (2)]],4)</f>
        <v>1302</v>
      </c>
      <c r="H105" s="5" t="s">
        <v>991</v>
      </c>
      <c r="I105" s="5" t="str">
        <f>LEFT(الصنف[[#This Row],[تصنيف فرعي (1)]],2)</f>
        <v>13</v>
      </c>
      <c r="J105" s="1" t="s">
        <v>664</v>
      </c>
      <c r="K105" s="1">
        <f>VLOOKUP(الصنف[[#This Row],[وحده القياس]],$S$4:$T$67,2,TRUE)</f>
        <v>60</v>
      </c>
      <c r="L105" s="1" t="s">
        <v>686</v>
      </c>
      <c r="M105" s="1">
        <v>1000</v>
      </c>
      <c r="N105" s="6" t="s">
        <v>678</v>
      </c>
      <c r="O105" s="7"/>
      <c r="P105" s="9">
        <f>IF(الصنف[[#This Row],[وحده المكونات]]="جرام",1,0)</f>
        <v>1</v>
      </c>
    </row>
    <row r="106" spans="2:16" ht="20.100000000000001" customHeight="1" x14ac:dyDescent="0.2">
      <c r="B106" s="4">
        <v>104</v>
      </c>
      <c r="C106" s="4">
        <v>1304001</v>
      </c>
      <c r="D106" s="2" t="s">
        <v>35</v>
      </c>
      <c r="E106" s="2" t="s">
        <v>35</v>
      </c>
      <c r="G106" s="1" t="str">
        <f>LEFT(الصنف[[#This Row],[تصنيف فرعي (2)]],4)</f>
        <v>1304</v>
      </c>
      <c r="H106" s="5" t="s">
        <v>992</v>
      </c>
      <c r="I106" s="5" t="str">
        <f>LEFT(الصنف[[#This Row],[تصنيف فرعي (1)]],2)</f>
        <v>13</v>
      </c>
      <c r="J106" s="1" t="s">
        <v>664</v>
      </c>
      <c r="K106" s="1">
        <f>VLOOKUP(الصنف[[#This Row],[وحده القياس]],$S$4:$T$67,2,TRUE)</f>
        <v>30</v>
      </c>
      <c r="L106" s="1" t="s">
        <v>920</v>
      </c>
      <c r="M106" s="1">
        <v>30</v>
      </c>
      <c r="N106" s="6" t="s">
        <v>742</v>
      </c>
      <c r="O106" s="7"/>
      <c r="P106" s="9">
        <f>IF(الصنف[[#This Row],[وحده المكونات]]="جرام",1,0)</f>
        <v>0</v>
      </c>
    </row>
    <row r="107" spans="2:16" ht="20.100000000000001" customHeight="1" x14ac:dyDescent="0.2">
      <c r="B107" s="4">
        <v>105</v>
      </c>
      <c r="C107" s="4">
        <v>1305001</v>
      </c>
      <c r="D107" s="2" t="s">
        <v>954</v>
      </c>
      <c r="E107" s="2" t="s">
        <v>466</v>
      </c>
      <c r="G107" s="1" t="str">
        <f>LEFT(الصنف[[#This Row],[تصنيف فرعي (2)]],4)</f>
        <v>1305</v>
      </c>
      <c r="H107" s="5" t="s">
        <v>993</v>
      </c>
      <c r="I107" s="5" t="str">
        <f>LEFT(الصنف[[#This Row],[تصنيف فرعي (1)]],2)</f>
        <v>13</v>
      </c>
      <c r="J107" s="1" t="s">
        <v>664</v>
      </c>
      <c r="K107" s="1">
        <f>VLOOKUP(الصنف[[#This Row],[وحده القياس]],$S$4:$T$67,2,TRUE)</f>
        <v>15</v>
      </c>
      <c r="L107" s="1" t="s">
        <v>776</v>
      </c>
      <c r="M107" s="1">
        <v>1000</v>
      </c>
      <c r="N107" s="6" t="s">
        <v>743</v>
      </c>
      <c r="O107" s="7"/>
      <c r="P107" s="9">
        <f>IF(الصنف[[#This Row],[وحده المكونات]]="جرام",1,0)</f>
        <v>0</v>
      </c>
    </row>
    <row r="108" spans="2:16" ht="20.100000000000001" customHeight="1" x14ac:dyDescent="0.2">
      <c r="B108" s="4">
        <v>106</v>
      </c>
      <c r="C108" s="4">
        <v>1305002</v>
      </c>
      <c r="D108" s="2" t="s">
        <v>955</v>
      </c>
      <c r="E108" s="2" t="s">
        <v>422</v>
      </c>
      <c r="G108" s="1" t="str">
        <f>LEFT(الصنف[[#This Row],[تصنيف فرعي (2)]],4)</f>
        <v>1305</v>
      </c>
      <c r="H108" s="5" t="s">
        <v>993</v>
      </c>
      <c r="I108" s="5" t="str">
        <f>LEFT(الصنف[[#This Row],[تصنيف فرعي (1)]],2)</f>
        <v>13</v>
      </c>
      <c r="J108" s="1" t="s">
        <v>664</v>
      </c>
      <c r="K108" s="1">
        <f>VLOOKUP(الصنف[[#This Row],[وحده القياس]],$S$4:$T$67,2,TRUE)</f>
        <v>15</v>
      </c>
      <c r="L108" s="1" t="s">
        <v>776</v>
      </c>
      <c r="M108" s="1">
        <v>1000</v>
      </c>
      <c r="N108" s="6" t="s">
        <v>743</v>
      </c>
      <c r="O108" s="7"/>
      <c r="P108" s="9">
        <f>IF(الصنف[[#This Row],[وحده المكونات]]="جرام",1,0)</f>
        <v>0</v>
      </c>
    </row>
    <row r="109" spans="2:16" ht="20.100000000000001" customHeight="1" x14ac:dyDescent="0.2">
      <c r="B109" s="4">
        <v>107</v>
      </c>
      <c r="C109" s="4">
        <v>1305003</v>
      </c>
      <c r="D109" s="2" t="s">
        <v>956</v>
      </c>
      <c r="E109" s="2" t="s">
        <v>428</v>
      </c>
      <c r="G109" s="1" t="str">
        <f>LEFT(الصنف[[#This Row],[تصنيف فرعي (2)]],4)</f>
        <v>1305</v>
      </c>
      <c r="H109" s="5" t="s">
        <v>993</v>
      </c>
      <c r="I109" s="5" t="str">
        <f>LEFT(الصنف[[#This Row],[تصنيف فرعي (1)]],2)</f>
        <v>13</v>
      </c>
      <c r="J109" s="1" t="s">
        <v>664</v>
      </c>
      <c r="K109" s="1">
        <f>VLOOKUP(الصنف[[#This Row],[وحده القياس]],$S$4:$T$67,2,TRUE)</f>
        <v>15</v>
      </c>
      <c r="L109" s="1" t="s">
        <v>776</v>
      </c>
      <c r="M109" s="1">
        <v>1000</v>
      </c>
      <c r="N109" s="6" t="s">
        <v>743</v>
      </c>
      <c r="O109" s="7"/>
      <c r="P109" s="9">
        <f>IF(الصنف[[#This Row],[وحده المكونات]]="جرام",1,0)</f>
        <v>0</v>
      </c>
    </row>
    <row r="110" spans="2:16" ht="20.100000000000001" customHeight="1" x14ac:dyDescent="0.2">
      <c r="B110" s="4">
        <v>108</v>
      </c>
      <c r="C110" s="4">
        <v>1305004</v>
      </c>
      <c r="D110" s="2" t="s">
        <v>957</v>
      </c>
      <c r="E110" s="2" t="s">
        <v>424</v>
      </c>
      <c r="G110" s="1" t="str">
        <f>LEFT(الصنف[[#This Row],[تصنيف فرعي (2)]],4)</f>
        <v>1305</v>
      </c>
      <c r="H110" s="5" t="s">
        <v>993</v>
      </c>
      <c r="I110" s="5" t="str">
        <f>LEFT(الصنف[[#This Row],[تصنيف فرعي (1)]],2)</f>
        <v>13</v>
      </c>
      <c r="J110" s="1" t="s">
        <v>664</v>
      </c>
      <c r="K110" s="1">
        <f>VLOOKUP(الصنف[[#This Row],[وحده القياس]],$S$4:$T$67,2,TRUE)</f>
        <v>15</v>
      </c>
      <c r="L110" s="1" t="s">
        <v>776</v>
      </c>
      <c r="M110" s="1">
        <v>1000</v>
      </c>
      <c r="N110" s="6" t="s">
        <v>743</v>
      </c>
      <c r="O110" s="7"/>
      <c r="P110" s="9">
        <f>IF(الصنف[[#This Row],[وحده المكونات]]="جرام",1,0)</f>
        <v>0</v>
      </c>
    </row>
    <row r="111" spans="2:16" ht="20.100000000000001" customHeight="1" x14ac:dyDescent="0.2">
      <c r="B111" s="4">
        <v>109</v>
      </c>
      <c r="C111" s="4">
        <v>1305005</v>
      </c>
      <c r="D111" s="2" t="s">
        <v>958</v>
      </c>
      <c r="E111" s="2" t="s">
        <v>421</v>
      </c>
      <c r="G111" s="1" t="str">
        <f>LEFT(الصنف[[#This Row],[تصنيف فرعي (2)]],4)</f>
        <v>1305</v>
      </c>
      <c r="H111" s="5" t="s">
        <v>993</v>
      </c>
      <c r="I111" s="5" t="str">
        <f>LEFT(الصنف[[#This Row],[تصنيف فرعي (1)]],2)</f>
        <v>13</v>
      </c>
      <c r="J111" s="1" t="s">
        <v>664</v>
      </c>
      <c r="K111" s="1">
        <f>VLOOKUP(الصنف[[#This Row],[وحده القياس]],$S$4:$T$67,2,TRUE)</f>
        <v>15</v>
      </c>
      <c r="L111" s="1" t="s">
        <v>776</v>
      </c>
      <c r="M111" s="1">
        <v>1000</v>
      </c>
      <c r="N111" s="6" t="s">
        <v>743</v>
      </c>
      <c r="O111" s="7"/>
      <c r="P111" s="9">
        <f>IF(الصنف[[#This Row],[وحده المكونات]]="جرام",1,0)</f>
        <v>0</v>
      </c>
    </row>
    <row r="112" spans="2:16" ht="20.100000000000001" customHeight="1" x14ac:dyDescent="0.2">
      <c r="B112" s="4">
        <v>110</v>
      </c>
      <c r="C112" s="4">
        <v>1305006</v>
      </c>
      <c r="D112" s="2" t="s">
        <v>959</v>
      </c>
      <c r="E112" s="2" t="s">
        <v>419</v>
      </c>
      <c r="G112" s="1" t="str">
        <f>LEFT(الصنف[[#This Row],[تصنيف فرعي (2)]],4)</f>
        <v>1305</v>
      </c>
      <c r="H112" s="5" t="s">
        <v>993</v>
      </c>
      <c r="I112" s="5" t="str">
        <f>LEFT(الصنف[[#This Row],[تصنيف فرعي (1)]],2)</f>
        <v>13</v>
      </c>
      <c r="J112" s="1" t="s">
        <v>664</v>
      </c>
      <c r="K112" s="1">
        <f>VLOOKUP(الصنف[[#This Row],[وحده القياس]],$S$4:$T$67,2,TRUE)</f>
        <v>15</v>
      </c>
      <c r="L112" s="1" t="s">
        <v>776</v>
      </c>
      <c r="M112" s="1">
        <v>1000</v>
      </c>
      <c r="N112" s="6" t="s">
        <v>743</v>
      </c>
      <c r="O112" s="7"/>
      <c r="P112" s="9">
        <f>IF(الصنف[[#This Row],[وحده المكونات]]="جرام",1,0)</f>
        <v>0</v>
      </c>
    </row>
    <row r="113" spans="2:16" ht="20.100000000000001" customHeight="1" x14ac:dyDescent="0.2">
      <c r="B113" s="4">
        <v>111</v>
      </c>
      <c r="C113" s="4">
        <v>1305007</v>
      </c>
      <c r="D113" s="2" t="s">
        <v>960</v>
      </c>
      <c r="E113" s="2" t="s">
        <v>66</v>
      </c>
      <c r="G113" s="1" t="str">
        <f>LEFT(الصنف[[#This Row],[تصنيف فرعي (2)]],4)</f>
        <v>1305</v>
      </c>
      <c r="H113" s="5" t="s">
        <v>993</v>
      </c>
      <c r="I113" s="5" t="str">
        <f>LEFT(الصنف[[#This Row],[تصنيف فرعي (1)]],2)</f>
        <v>13</v>
      </c>
      <c r="J113" s="1" t="s">
        <v>664</v>
      </c>
      <c r="K113" s="1">
        <f>VLOOKUP(الصنف[[#This Row],[وحده القياس]],$S$4:$T$67,2,TRUE)</f>
        <v>15</v>
      </c>
      <c r="L113" s="1" t="s">
        <v>776</v>
      </c>
      <c r="M113" s="1">
        <v>1000</v>
      </c>
      <c r="N113" s="6" t="s">
        <v>743</v>
      </c>
      <c r="O113" s="7"/>
      <c r="P113" s="9">
        <f>IF(الصنف[[#This Row],[وحده المكونات]]="جرام",1,0)</f>
        <v>0</v>
      </c>
    </row>
    <row r="114" spans="2:16" ht="20.100000000000001" customHeight="1" x14ac:dyDescent="0.2">
      <c r="B114" s="4">
        <v>112</v>
      </c>
      <c r="C114" s="4">
        <v>1305008</v>
      </c>
      <c r="D114" s="2" t="s">
        <v>961</v>
      </c>
      <c r="E114" s="2" t="s">
        <v>423</v>
      </c>
      <c r="G114" s="1" t="str">
        <f>LEFT(الصنف[[#This Row],[تصنيف فرعي (2)]],4)</f>
        <v>1305</v>
      </c>
      <c r="H114" s="5" t="s">
        <v>993</v>
      </c>
      <c r="I114" s="5" t="str">
        <f>LEFT(الصنف[[#This Row],[تصنيف فرعي (1)]],2)</f>
        <v>13</v>
      </c>
      <c r="J114" s="1" t="s">
        <v>664</v>
      </c>
      <c r="K114" s="1">
        <f>VLOOKUP(الصنف[[#This Row],[وحده القياس]],$S$4:$T$67,2,TRUE)</f>
        <v>15</v>
      </c>
      <c r="L114" s="1" t="s">
        <v>776</v>
      </c>
      <c r="M114" s="1">
        <v>1000</v>
      </c>
      <c r="N114" s="6" t="s">
        <v>743</v>
      </c>
      <c r="O114" s="7"/>
      <c r="P114" s="9">
        <f>IF(الصنف[[#This Row],[وحده المكونات]]="جرام",1,0)</f>
        <v>0</v>
      </c>
    </row>
    <row r="115" spans="2:16" ht="20.100000000000001" customHeight="1" x14ac:dyDescent="0.2">
      <c r="B115" s="4">
        <v>113</v>
      </c>
      <c r="C115" s="4">
        <v>1305009</v>
      </c>
      <c r="D115" s="2" t="s">
        <v>962</v>
      </c>
      <c r="E115" s="2" t="s">
        <v>432</v>
      </c>
      <c r="G115" s="1" t="str">
        <f>LEFT(الصنف[[#This Row],[تصنيف فرعي (2)]],4)</f>
        <v>1305</v>
      </c>
      <c r="H115" s="5" t="s">
        <v>993</v>
      </c>
      <c r="I115" s="5" t="str">
        <f>LEFT(الصنف[[#This Row],[تصنيف فرعي (1)]],2)</f>
        <v>13</v>
      </c>
      <c r="J115" s="1" t="s">
        <v>664</v>
      </c>
      <c r="K115" s="1">
        <f>VLOOKUP(الصنف[[#This Row],[وحده القياس]],$S$4:$T$67,2,TRUE)</f>
        <v>15</v>
      </c>
      <c r="L115" s="1" t="s">
        <v>776</v>
      </c>
      <c r="M115" s="1">
        <v>1000</v>
      </c>
      <c r="N115" s="6" t="s">
        <v>743</v>
      </c>
      <c r="O115" s="7"/>
      <c r="P115" s="9">
        <f>IF(الصنف[[#This Row],[وحده المكونات]]="جرام",1,0)</f>
        <v>0</v>
      </c>
    </row>
    <row r="116" spans="2:16" ht="20.100000000000001" customHeight="1" x14ac:dyDescent="0.2">
      <c r="B116" s="4">
        <v>114</v>
      </c>
      <c r="C116" s="4">
        <v>1305010</v>
      </c>
      <c r="D116" s="2" t="s">
        <v>963</v>
      </c>
      <c r="E116" s="2" t="s">
        <v>426</v>
      </c>
      <c r="G116" s="1" t="str">
        <f>LEFT(الصنف[[#This Row],[تصنيف فرعي (2)]],4)</f>
        <v>1305</v>
      </c>
      <c r="H116" s="5" t="s">
        <v>993</v>
      </c>
      <c r="I116" s="5" t="str">
        <f>LEFT(الصنف[[#This Row],[تصنيف فرعي (1)]],2)</f>
        <v>13</v>
      </c>
      <c r="J116" s="1" t="s">
        <v>664</v>
      </c>
      <c r="K116" s="1">
        <f>VLOOKUP(الصنف[[#This Row],[وحده القياس]],$S$4:$T$67,2,TRUE)</f>
        <v>15</v>
      </c>
      <c r="L116" s="1" t="s">
        <v>776</v>
      </c>
      <c r="M116" s="1">
        <v>1000</v>
      </c>
      <c r="N116" s="6" t="s">
        <v>743</v>
      </c>
      <c r="O116" s="7"/>
      <c r="P116" s="9">
        <f>IF(الصنف[[#This Row],[وحده المكونات]]="جرام",1,0)</f>
        <v>0</v>
      </c>
    </row>
    <row r="117" spans="2:16" ht="20.100000000000001" customHeight="1" x14ac:dyDescent="0.2">
      <c r="B117" s="4">
        <v>115</v>
      </c>
      <c r="C117" s="4">
        <v>1305011</v>
      </c>
      <c r="D117" s="2" t="s">
        <v>964</v>
      </c>
      <c r="E117" s="2" t="s">
        <v>65</v>
      </c>
      <c r="G117" s="1" t="str">
        <f>LEFT(الصنف[[#This Row],[تصنيف فرعي (2)]],4)</f>
        <v>1305</v>
      </c>
      <c r="H117" s="5" t="s">
        <v>993</v>
      </c>
      <c r="I117" s="5" t="str">
        <f>LEFT(الصنف[[#This Row],[تصنيف فرعي (1)]],2)</f>
        <v>13</v>
      </c>
      <c r="J117" s="1" t="s">
        <v>664</v>
      </c>
      <c r="K117" s="1">
        <f>VLOOKUP(الصنف[[#This Row],[وحده القياس]],$S$4:$T$67,2,TRUE)</f>
        <v>15</v>
      </c>
      <c r="L117" s="1" t="s">
        <v>776</v>
      </c>
      <c r="M117" s="1">
        <v>1000</v>
      </c>
      <c r="N117" s="6" t="s">
        <v>743</v>
      </c>
      <c r="O117" s="7"/>
      <c r="P117" s="9">
        <f>IF(الصنف[[#This Row],[وحده المكونات]]="جرام",1,0)</f>
        <v>0</v>
      </c>
    </row>
    <row r="118" spans="2:16" ht="20.100000000000001" customHeight="1" x14ac:dyDescent="0.2">
      <c r="B118" s="4">
        <v>116</v>
      </c>
      <c r="C118" s="4">
        <v>1305012</v>
      </c>
      <c r="D118" s="2" t="s">
        <v>965</v>
      </c>
      <c r="E118" s="2" t="s">
        <v>425</v>
      </c>
      <c r="G118" s="1" t="str">
        <f>LEFT(الصنف[[#This Row],[تصنيف فرعي (2)]],4)</f>
        <v>1305</v>
      </c>
      <c r="H118" s="5" t="s">
        <v>993</v>
      </c>
      <c r="I118" s="5" t="str">
        <f>LEFT(الصنف[[#This Row],[تصنيف فرعي (1)]],2)</f>
        <v>13</v>
      </c>
      <c r="J118" s="1" t="s">
        <v>664</v>
      </c>
      <c r="K118" s="1">
        <f>VLOOKUP(الصنف[[#This Row],[وحده القياس]],$S$4:$T$67,2,TRUE)</f>
        <v>15</v>
      </c>
      <c r="L118" s="1" t="s">
        <v>776</v>
      </c>
      <c r="M118" s="1">
        <v>1000</v>
      </c>
      <c r="N118" s="6" t="s">
        <v>743</v>
      </c>
      <c r="O118" s="7"/>
      <c r="P118" s="9">
        <f>IF(الصنف[[#This Row],[وحده المكونات]]="جرام",1,0)</f>
        <v>0</v>
      </c>
    </row>
    <row r="119" spans="2:16" ht="20.100000000000001" customHeight="1" x14ac:dyDescent="0.2">
      <c r="B119" s="4">
        <v>117</v>
      </c>
      <c r="C119" s="4">
        <v>1305013</v>
      </c>
      <c r="D119" s="2" t="s">
        <v>966</v>
      </c>
      <c r="E119" s="2" t="s">
        <v>420</v>
      </c>
      <c r="G119" s="1" t="str">
        <f>LEFT(الصنف[[#This Row],[تصنيف فرعي (2)]],4)</f>
        <v>1305</v>
      </c>
      <c r="H119" s="5" t="s">
        <v>993</v>
      </c>
      <c r="I119" s="5" t="str">
        <f>LEFT(الصنف[[#This Row],[تصنيف فرعي (1)]],2)</f>
        <v>13</v>
      </c>
      <c r="J119" s="1" t="s">
        <v>664</v>
      </c>
      <c r="K119" s="1">
        <f>VLOOKUP(الصنف[[#This Row],[وحده القياس]],$S$4:$T$67,2,TRUE)</f>
        <v>15</v>
      </c>
      <c r="L119" s="1" t="s">
        <v>776</v>
      </c>
      <c r="M119" s="1">
        <v>1000</v>
      </c>
      <c r="N119" s="6" t="s">
        <v>743</v>
      </c>
      <c r="O119" s="7"/>
      <c r="P119" s="9">
        <f>IF(الصنف[[#This Row],[وحده المكونات]]="جرام",1,0)</f>
        <v>0</v>
      </c>
    </row>
    <row r="120" spans="2:16" ht="20.100000000000001" customHeight="1" x14ac:dyDescent="0.2">
      <c r="B120" s="4">
        <v>118</v>
      </c>
      <c r="C120" s="4">
        <v>1305014</v>
      </c>
      <c r="D120" s="2" t="s">
        <v>427</v>
      </c>
      <c r="E120" s="2" t="s">
        <v>427</v>
      </c>
      <c r="G120" s="1" t="str">
        <f>LEFT(الصنف[[#This Row],[تصنيف فرعي (2)]],4)</f>
        <v>1305</v>
      </c>
      <c r="H120" s="5" t="s">
        <v>993</v>
      </c>
      <c r="I120" s="5" t="str">
        <f>LEFT(الصنف[[#This Row],[تصنيف فرعي (1)]],2)</f>
        <v>13</v>
      </c>
      <c r="J120" s="1" t="s">
        <v>664</v>
      </c>
      <c r="K120" s="1">
        <f>VLOOKUP(الصنف[[#This Row],[وحده القياس]],$S$4:$T$67,2,TRUE)</f>
        <v>15</v>
      </c>
      <c r="L120" s="1" t="s">
        <v>776</v>
      </c>
      <c r="M120" s="1">
        <v>1000</v>
      </c>
      <c r="N120" s="6" t="s">
        <v>743</v>
      </c>
      <c r="O120" s="7"/>
      <c r="P120" s="9">
        <f>IF(الصنف[[#This Row],[وحده المكونات]]="جرام",1,0)</f>
        <v>0</v>
      </c>
    </row>
    <row r="121" spans="2:16" ht="20.100000000000001" customHeight="1" x14ac:dyDescent="0.2">
      <c r="B121" s="4">
        <v>119</v>
      </c>
      <c r="C121" s="4">
        <v>1306001</v>
      </c>
      <c r="D121" s="2" t="s">
        <v>486</v>
      </c>
      <c r="E121" s="2" t="s">
        <v>486</v>
      </c>
      <c r="G121" s="1" t="str">
        <f>LEFT(الصنف[[#This Row],[تصنيف فرعي (2)]],4)</f>
        <v>1306</v>
      </c>
      <c r="H121" s="5" t="s">
        <v>994</v>
      </c>
      <c r="I121" s="5" t="str">
        <f>LEFT(الصنف[[#This Row],[تصنيف فرعي (1)]],2)</f>
        <v>13</v>
      </c>
      <c r="J121" s="1" t="s">
        <v>664</v>
      </c>
      <c r="K121" s="1">
        <f>VLOOKUP(الصنف[[#This Row],[وحده القياس]],$S$4:$T$67,2,TRUE)</f>
        <v>43</v>
      </c>
      <c r="L121" s="1" t="s">
        <v>742</v>
      </c>
      <c r="M121" s="1">
        <v>1</v>
      </c>
      <c r="N121" s="6" t="s">
        <v>742</v>
      </c>
      <c r="O121" s="7">
        <v>30</v>
      </c>
      <c r="P121" s="9">
        <f>IF(الصنف[[#This Row],[وحده المكونات]]="جرام",1,0)</f>
        <v>0</v>
      </c>
    </row>
    <row r="122" spans="2:16" ht="20.100000000000001" customHeight="1" x14ac:dyDescent="0.2">
      <c r="B122" s="4">
        <v>120</v>
      </c>
      <c r="C122" s="4">
        <v>1306002</v>
      </c>
      <c r="D122" s="2" t="s">
        <v>264</v>
      </c>
      <c r="E122" s="2" t="s">
        <v>264</v>
      </c>
      <c r="G122" s="1" t="str">
        <f>LEFT(الصنف[[#This Row],[تصنيف فرعي (2)]],4)</f>
        <v>1306</v>
      </c>
      <c r="H122" s="5" t="s">
        <v>994</v>
      </c>
      <c r="I122" s="5" t="str">
        <f>LEFT(الصنف[[#This Row],[تصنيف فرعي (1)]],2)</f>
        <v>13</v>
      </c>
      <c r="J122" s="1" t="s">
        <v>664</v>
      </c>
      <c r="K122" s="1">
        <f>VLOOKUP(الصنف[[#This Row],[وحده القياس]],$S$4:$T$67,2,TRUE)</f>
        <v>43</v>
      </c>
      <c r="L122" s="1" t="s">
        <v>742</v>
      </c>
      <c r="M122" s="1">
        <v>1</v>
      </c>
      <c r="N122" s="6" t="s">
        <v>742</v>
      </c>
      <c r="O122" s="7">
        <v>25</v>
      </c>
      <c r="P122" s="9">
        <f>IF(الصنف[[#This Row],[وحده المكونات]]="جرام",1,0)</f>
        <v>0</v>
      </c>
    </row>
    <row r="123" spans="2:16" ht="20.100000000000001" customHeight="1" x14ac:dyDescent="0.2">
      <c r="B123" s="4">
        <v>121</v>
      </c>
      <c r="C123" s="4">
        <v>1306003</v>
      </c>
      <c r="D123" s="2" t="s">
        <v>266</v>
      </c>
      <c r="E123" s="2" t="s">
        <v>266</v>
      </c>
      <c r="G123" s="1" t="str">
        <f>LEFT(الصنف[[#This Row],[تصنيف فرعي (2)]],4)</f>
        <v>1306</v>
      </c>
      <c r="H123" s="5" t="s">
        <v>994</v>
      </c>
      <c r="I123" s="5" t="str">
        <f>LEFT(الصنف[[#This Row],[تصنيف فرعي (1)]],2)</f>
        <v>13</v>
      </c>
      <c r="J123" s="1" t="s">
        <v>664</v>
      </c>
      <c r="K123" s="1">
        <f>VLOOKUP(الصنف[[#This Row],[وحده القياس]],$S$4:$T$67,2,TRUE)</f>
        <v>43</v>
      </c>
      <c r="L123" s="1" t="s">
        <v>742</v>
      </c>
      <c r="M123" s="1">
        <v>1</v>
      </c>
      <c r="N123" s="6" t="s">
        <v>742</v>
      </c>
      <c r="O123" s="7">
        <v>25</v>
      </c>
      <c r="P123" s="9">
        <f>IF(الصنف[[#This Row],[وحده المكونات]]="جرام",1,0)</f>
        <v>0</v>
      </c>
    </row>
    <row r="124" spans="2:16" ht="20.100000000000001" customHeight="1" x14ac:dyDescent="0.2">
      <c r="B124" s="4">
        <v>122</v>
      </c>
      <c r="C124" s="4">
        <v>1306004</v>
      </c>
      <c r="D124" s="2" t="s">
        <v>928</v>
      </c>
      <c r="E124" s="2" t="s">
        <v>267</v>
      </c>
      <c r="G124" s="1" t="str">
        <f>LEFT(الصنف[[#This Row],[تصنيف فرعي (2)]],4)</f>
        <v>1306</v>
      </c>
      <c r="H124" s="5" t="s">
        <v>994</v>
      </c>
      <c r="I124" s="5" t="str">
        <f>LEFT(الصنف[[#This Row],[تصنيف فرعي (1)]],2)</f>
        <v>13</v>
      </c>
      <c r="J124" s="1" t="s">
        <v>664</v>
      </c>
      <c r="K124" s="1">
        <f>VLOOKUP(الصنف[[#This Row],[وحده القياس]],$S$4:$T$67,2,TRUE)</f>
        <v>43</v>
      </c>
      <c r="L124" s="1" t="s">
        <v>742</v>
      </c>
      <c r="M124" s="1">
        <v>1</v>
      </c>
      <c r="N124" s="6" t="s">
        <v>742</v>
      </c>
      <c r="O124" s="7">
        <v>40</v>
      </c>
      <c r="P124" s="9">
        <f>IF(الصنف[[#This Row],[وحده المكونات]]="جرام",1,0)</f>
        <v>0</v>
      </c>
    </row>
    <row r="125" spans="2:16" ht="20.100000000000001" customHeight="1" x14ac:dyDescent="0.2">
      <c r="B125" s="4">
        <v>123</v>
      </c>
      <c r="C125" s="4">
        <v>1306005</v>
      </c>
      <c r="D125" s="2" t="s">
        <v>880</v>
      </c>
      <c r="E125" s="2" t="s">
        <v>267</v>
      </c>
      <c r="G125" s="1" t="str">
        <f>LEFT(الصنف[[#This Row],[تصنيف فرعي (2)]],4)</f>
        <v>1306</v>
      </c>
      <c r="H125" s="5" t="s">
        <v>994</v>
      </c>
      <c r="I125" s="5" t="str">
        <f>LEFT(الصنف[[#This Row],[تصنيف فرعي (1)]],2)</f>
        <v>13</v>
      </c>
      <c r="J125" s="1" t="s">
        <v>664</v>
      </c>
      <c r="K125" s="1">
        <f>VLOOKUP(الصنف[[#This Row],[وحده القياس]],$S$4:$T$67,2,TRUE)</f>
        <v>43</v>
      </c>
      <c r="L125" s="1" t="s">
        <v>742</v>
      </c>
      <c r="M125" s="1">
        <v>1</v>
      </c>
      <c r="N125" s="6" t="s">
        <v>742</v>
      </c>
      <c r="O125" s="7">
        <v>33</v>
      </c>
      <c r="P125" s="9">
        <f>IF(الصنف[[#This Row],[وحده المكونات]]="جرام",1,0)</f>
        <v>0</v>
      </c>
    </row>
    <row r="126" spans="2:16" ht="20.100000000000001" customHeight="1" x14ac:dyDescent="0.2">
      <c r="B126" s="4">
        <v>124</v>
      </c>
      <c r="C126" s="4">
        <v>1306006</v>
      </c>
      <c r="D126" s="2" t="s">
        <v>882</v>
      </c>
      <c r="E126" s="2" t="s">
        <v>267</v>
      </c>
      <c r="G126" s="1" t="str">
        <f>LEFT(الصنف[[#This Row],[تصنيف فرعي (2)]],4)</f>
        <v>1306</v>
      </c>
      <c r="H126" s="5" t="s">
        <v>994</v>
      </c>
      <c r="I126" s="5" t="str">
        <f>LEFT(الصنف[[#This Row],[تصنيف فرعي (1)]],2)</f>
        <v>13</v>
      </c>
      <c r="J126" s="1" t="s">
        <v>664</v>
      </c>
      <c r="K126" s="1">
        <f>VLOOKUP(الصنف[[#This Row],[وحده القياس]],$S$4:$T$67,2,TRUE)</f>
        <v>43</v>
      </c>
      <c r="L126" s="1" t="s">
        <v>742</v>
      </c>
      <c r="M126" s="1">
        <v>1</v>
      </c>
      <c r="N126" s="6" t="s">
        <v>742</v>
      </c>
      <c r="O126" s="7">
        <v>45</v>
      </c>
      <c r="P126" s="9">
        <f>IF(الصنف[[#This Row],[وحده المكونات]]="جرام",1,0)</f>
        <v>0</v>
      </c>
    </row>
    <row r="127" spans="2:16" ht="20.100000000000001" customHeight="1" x14ac:dyDescent="0.2">
      <c r="B127" s="4">
        <v>125</v>
      </c>
      <c r="C127" s="4">
        <v>1306007</v>
      </c>
      <c r="D127" s="2" t="s">
        <v>881</v>
      </c>
      <c r="E127" s="2" t="s">
        <v>267</v>
      </c>
      <c r="G127" s="1" t="str">
        <f>LEFT(الصنف[[#This Row],[تصنيف فرعي (2)]],4)</f>
        <v>1306</v>
      </c>
      <c r="H127" s="5" t="s">
        <v>994</v>
      </c>
      <c r="I127" s="5" t="str">
        <f>LEFT(الصنف[[#This Row],[تصنيف فرعي (1)]],2)</f>
        <v>13</v>
      </c>
      <c r="J127" s="1" t="s">
        <v>664</v>
      </c>
      <c r="K127" s="1">
        <f>VLOOKUP(الصنف[[#This Row],[وحده القياس]],$S$4:$T$67,2,TRUE)</f>
        <v>43</v>
      </c>
      <c r="L127" s="1" t="s">
        <v>742</v>
      </c>
      <c r="M127" s="1">
        <v>1</v>
      </c>
      <c r="N127" s="6" t="s">
        <v>742</v>
      </c>
      <c r="O127" s="7">
        <v>40</v>
      </c>
      <c r="P127" s="9">
        <f>IF(الصنف[[#This Row],[وحده المكونات]]="جرام",1,0)</f>
        <v>0</v>
      </c>
    </row>
    <row r="128" spans="2:16" ht="20.100000000000001" customHeight="1" x14ac:dyDescent="0.2">
      <c r="B128" s="4">
        <v>126</v>
      </c>
      <c r="C128" s="4">
        <v>1306008</v>
      </c>
      <c r="D128" s="2" t="s">
        <v>265</v>
      </c>
      <c r="E128" s="2" t="s">
        <v>265</v>
      </c>
      <c r="G128" s="1" t="str">
        <f>LEFT(الصنف[[#This Row],[تصنيف فرعي (2)]],4)</f>
        <v>1306</v>
      </c>
      <c r="H128" s="5" t="s">
        <v>994</v>
      </c>
      <c r="I128" s="5" t="str">
        <f>LEFT(الصنف[[#This Row],[تصنيف فرعي (1)]],2)</f>
        <v>13</v>
      </c>
      <c r="J128" s="1" t="s">
        <v>664</v>
      </c>
      <c r="K128" s="1">
        <f>VLOOKUP(الصنف[[#This Row],[وحده القياس]],$S$4:$T$67,2,TRUE)</f>
        <v>43</v>
      </c>
      <c r="L128" s="1" t="s">
        <v>742</v>
      </c>
      <c r="M128" s="1">
        <v>1</v>
      </c>
      <c r="N128" s="6" t="s">
        <v>742</v>
      </c>
      <c r="O128" s="7">
        <v>20</v>
      </c>
      <c r="P128" s="9">
        <f>IF(الصنف[[#This Row],[وحده المكونات]]="جرام",1,0)</f>
        <v>0</v>
      </c>
    </row>
    <row r="129" spans="2:16" ht="20.100000000000001" customHeight="1" x14ac:dyDescent="0.2">
      <c r="B129" s="4">
        <v>128</v>
      </c>
      <c r="C129" s="4">
        <v>1307002</v>
      </c>
      <c r="D129" s="2" t="s">
        <v>30</v>
      </c>
      <c r="E129" s="2" t="s">
        <v>30</v>
      </c>
      <c r="G129" s="1" t="str">
        <f>LEFT(الصنف[[#This Row],[تصنيف فرعي (2)]],4)</f>
        <v>1307</v>
      </c>
      <c r="H129" s="5" t="s">
        <v>995</v>
      </c>
      <c r="I129" s="5" t="str">
        <f>LEFT(الصنف[[#This Row],[تصنيف فرعي (1)]],2)</f>
        <v>13</v>
      </c>
      <c r="J129" s="1" t="s">
        <v>664</v>
      </c>
      <c r="K129" s="1">
        <f>VLOOKUP(الصنف[[#This Row],[وحده القياس]],$S$4:$T$67,2,TRUE)</f>
        <v>60</v>
      </c>
      <c r="L129" s="1" t="s">
        <v>686</v>
      </c>
      <c r="M129" s="1">
        <v>1000</v>
      </c>
      <c r="N129" s="6" t="s">
        <v>678</v>
      </c>
      <c r="O129" s="7"/>
      <c r="P129" s="9">
        <f>IF(الصنف[[#This Row],[وحده المكونات]]="جرام",1,0)</f>
        <v>1</v>
      </c>
    </row>
    <row r="130" spans="2:16" ht="20.100000000000001" customHeight="1" x14ac:dyDescent="0.2">
      <c r="B130" s="4">
        <v>127</v>
      </c>
      <c r="C130" s="4">
        <v>1307001</v>
      </c>
      <c r="D130" s="2" t="s">
        <v>1048</v>
      </c>
      <c r="E130" s="2" t="s">
        <v>884</v>
      </c>
      <c r="G130" s="1" t="str">
        <f>LEFT(الصنف[[#This Row],[تصنيف فرعي (2)]],4)</f>
        <v>1307</v>
      </c>
      <c r="H130" s="5" t="s">
        <v>995</v>
      </c>
      <c r="I130" s="5" t="str">
        <f>LEFT(الصنف[[#This Row],[تصنيف فرعي (1)]],2)</f>
        <v>13</v>
      </c>
      <c r="J130" s="1" t="s">
        <v>664</v>
      </c>
      <c r="K130" s="1">
        <f>VLOOKUP(الصنف[[#This Row],[وحده القياس]],$S$4:$T$67,2,TRUE)</f>
        <v>27</v>
      </c>
      <c r="L130" s="1" t="s">
        <v>883</v>
      </c>
      <c r="M130" s="1">
        <v>50000</v>
      </c>
      <c r="N130" s="6" t="s">
        <v>678</v>
      </c>
      <c r="O130" s="7"/>
      <c r="P130" s="9">
        <f>IF(الصنف[[#This Row],[وحده المكونات]]="جرام",1,0)</f>
        <v>1</v>
      </c>
    </row>
    <row r="131" spans="2:16" ht="20.100000000000001" customHeight="1" x14ac:dyDescent="0.2">
      <c r="B131" s="4">
        <v>129</v>
      </c>
      <c r="C131" s="4">
        <v>1307003</v>
      </c>
      <c r="D131" s="2" t="s">
        <v>780</v>
      </c>
      <c r="E131" s="2" t="s">
        <v>331</v>
      </c>
      <c r="G131" s="1" t="str">
        <f>LEFT(الصنف[[#This Row],[تصنيف فرعي (2)]],4)</f>
        <v>1307</v>
      </c>
      <c r="H131" s="5" t="s">
        <v>995</v>
      </c>
      <c r="I131" s="5" t="str">
        <f>LEFT(الصنف[[#This Row],[تصنيف فرعي (1)]],2)</f>
        <v>13</v>
      </c>
      <c r="J131" s="1" t="s">
        <v>664</v>
      </c>
      <c r="K131" s="1">
        <f>VLOOKUP(الصنف[[#This Row],[وحده القياس]],$S$4:$T$67,2,TRUE)</f>
        <v>26</v>
      </c>
      <c r="L131" s="1" t="s">
        <v>692</v>
      </c>
      <c r="M131" s="1">
        <v>40000</v>
      </c>
      <c r="N131" s="6" t="s">
        <v>678</v>
      </c>
      <c r="O131" s="7"/>
      <c r="P131" s="9">
        <f>IF(الصنف[[#This Row],[وحده المكونات]]="جرام",1,0)</f>
        <v>1</v>
      </c>
    </row>
    <row r="132" spans="2:16" ht="20.100000000000001" customHeight="1" x14ac:dyDescent="0.2">
      <c r="B132" s="4">
        <v>130</v>
      </c>
      <c r="C132" s="4">
        <v>1308001</v>
      </c>
      <c r="D132" s="2" t="s">
        <v>334</v>
      </c>
      <c r="E132" s="2" t="s">
        <v>334</v>
      </c>
      <c r="G132" s="1" t="str">
        <f>LEFT(الصنف[[#This Row],[تصنيف فرعي (2)]],4)</f>
        <v>1308</v>
      </c>
      <c r="H132" s="5" t="s">
        <v>996</v>
      </c>
      <c r="I132" s="5" t="str">
        <f>LEFT(الصنف[[#This Row],[تصنيف فرعي (1)]],2)</f>
        <v>13</v>
      </c>
      <c r="J132" s="1" t="s">
        <v>664</v>
      </c>
      <c r="K132" s="1">
        <f>VLOOKUP(الصنف[[#This Row],[وحده القياس]],$S$4:$T$67,2,TRUE)</f>
        <v>60</v>
      </c>
      <c r="L132" s="1" t="s">
        <v>686</v>
      </c>
      <c r="M132" s="1">
        <v>1000</v>
      </c>
      <c r="N132" s="6" t="s">
        <v>678</v>
      </c>
      <c r="O132" s="7"/>
      <c r="P132" s="9">
        <f>IF(الصنف[[#This Row],[وحده المكونات]]="جرام",1,0)</f>
        <v>1</v>
      </c>
    </row>
    <row r="133" spans="2:16" ht="20.100000000000001" customHeight="1" x14ac:dyDescent="0.2">
      <c r="B133" s="4">
        <v>131</v>
      </c>
      <c r="C133" s="4">
        <v>1308002</v>
      </c>
      <c r="D133" s="2" t="s">
        <v>335</v>
      </c>
      <c r="E133" s="2" t="s">
        <v>335</v>
      </c>
      <c r="G133" s="1" t="str">
        <f>LEFT(الصنف[[#This Row],[تصنيف فرعي (2)]],4)</f>
        <v>1308</v>
      </c>
      <c r="H133" s="5" t="s">
        <v>996</v>
      </c>
      <c r="I133" s="5" t="str">
        <f>LEFT(الصنف[[#This Row],[تصنيف فرعي (1)]],2)</f>
        <v>13</v>
      </c>
      <c r="J133" s="1" t="s">
        <v>664</v>
      </c>
      <c r="K133" s="1">
        <f>VLOOKUP(الصنف[[#This Row],[وحده القياس]],$S$4:$T$67,2,TRUE)</f>
        <v>60</v>
      </c>
      <c r="L133" s="1" t="s">
        <v>686</v>
      </c>
      <c r="M133" s="1">
        <v>1000</v>
      </c>
      <c r="N133" s="6" t="s">
        <v>678</v>
      </c>
      <c r="O133" s="7"/>
      <c r="P133" s="9">
        <f>IF(الصنف[[#This Row],[وحده المكونات]]="جرام",1,0)</f>
        <v>1</v>
      </c>
    </row>
    <row r="134" spans="2:16" ht="20.100000000000001" customHeight="1" x14ac:dyDescent="0.2">
      <c r="B134" s="4">
        <v>132</v>
      </c>
      <c r="C134" s="4">
        <v>1308003</v>
      </c>
      <c r="D134" s="2" t="s">
        <v>912</v>
      </c>
      <c r="E134" s="2" t="s">
        <v>756</v>
      </c>
      <c r="G134" s="1" t="str">
        <f>LEFT(الصنف[[#This Row],[تصنيف فرعي (2)]],4)</f>
        <v>1308</v>
      </c>
      <c r="H134" s="5" t="s">
        <v>996</v>
      </c>
      <c r="I134" s="5" t="str">
        <f>LEFT(الصنف[[#This Row],[تصنيف فرعي (1)]],2)</f>
        <v>13</v>
      </c>
      <c r="J134" s="1" t="s">
        <v>664</v>
      </c>
      <c r="K134" s="1">
        <f>VLOOKUP(الصنف[[#This Row],[وحده القياس]],$S$4:$T$67,2,TRUE)</f>
        <v>1</v>
      </c>
      <c r="L134" s="1" t="s">
        <v>787</v>
      </c>
      <c r="M134" s="1">
        <v>50</v>
      </c>
      <c r="N134" s="6" t="s">
        <v>383</v>
      </c>
      <c r="O134" s="7"/>
      <c r="P134" s="9">
        <f>IF(الصنف[[#This Row],[وحده المكونات]]="جرام",1,0)</f>
        <v>0</v>
      </c>
    </row>
    <row r="135" spans="2:16" ht="20.100000000000001" customHeight="1" x14ac:dyDescent="0.2">
      <c r="B135" s="4">
        <v>133</v>
      </c>
      <c r="C135" s="4">
        <v>1309001</v>
      </c>
      <c r="D135" s="2" t="s">
        <v>887</v>
      </c>
      <c r="E135" s="2" t="s">
        <v>467</v>
      </c>
      <c r="G135" s="1" t="str">
        <f>LEFT(الصنف[[#This Row],[تصنيف فرعي (2)]],4)</f>
        <v>1309</v>
      </c>
      <c r="H135" s="5" t="s">
        <v>997</v>
      </c>
      <c r="I135" s="5" t="str">
        <f>LEFT(الصنف[[#This Row],[تصنيف فرعي (1)]],2)</f>
        <v>13</v>
      </c>
      <c r="J135" s="1" t="s">
        <v>664</v>
      </c>
      <c r="K135" s="1">
        <f>VLOOKUP(الصنف[[#This Row],[وحده القياس]],$S$4:$T$67,2,TRUE)</f>
        <v>51</v>
      </c>
      <c r="L135" s="1" t="s">
        <v>761</v>
      </c>
      <c r="M135" s="1">
        <v>1000</v>
      </c>
      <c r="N135" s="6" t="s">
        <v>678</v>
      </c>
      <c r="O135" s="7"/>
      <c r="P135" s="9">
        <f>IF(الصنف[[#This Row],[وحده المكونات]]="جرام",1,0)</f>
        <v>1</v>
      </c>
    </row>
    <row r="136" spans="2:16" ht="20.100000000000001" customHeight="1" x14ac:dyDescent="0.2">
      <c r="B136" s="4">
        <v>134</v>
      </c>
      <c r="C136" s="4">
        <v>1309002</v>
      </c>
      <c r="D136" s="2" t="s">
        <v>488</v>
      </c>
      <c r="E136" s="2" t="s">
        <v>888</v>
      </c>
      <c r="G136" s="1" t="str">
        <f>LEFT(الصنف[[#This Row],[تصنيف فرعي (2)]],4)</f>
        <v>1309</v>
      </c>
      <c r="H136" s="5" t="s">
        <v>997</v>
      </c>
      <c r="I136" s="5" t="str">
        <f>LEFT(الصنف[[#This Row],[تصنيف فرعي (1)]],2)</f>
        <v>13</v>
      </c>
      <c r="J136" s="1" t="s">
        <v>664</v>
      </c>
      <c r="K136" s="1">
        <f>VLOOKUP(الصنف[[#This Row],[وحده القياس]],$S$4:$T$67,2,TRUE)</f>
        <v>60</v>
      </c>
      <c r="L136" s="1" t="s">
        <v>686</v>
      </c>
      <c r="M136" s="1">
        <v>1000</v>
      </c>
      <c r="N136" s="6" t="s">
        <v>678</v>
      </c>
      <c r="O136" s="7"/>
      <c r="P136" s="9">
        <f>IF(الصنف[[#This Row],[وحده المكونات]]="جرام",1,0)</f>
        <v>1</v>
      </c>
    </row>
    <row r="137" spans="2:16" ht="20.100000000000001" customHeight="1" x14ac:dyDescent="0.2">
      <c r="B137" s="4">
        <v>135</v>
      </c>
      <c r="C137" s="4">
        <v>1309003</v>
      </c>
      <c r="D137" s="2" t="s">
        <v>48</v>
      </c>
      <c r="E137" s="2" t="s">
        <v>889</v>
      </c>
      <c r="G137" s="1" t="str">
        <f>LEFT(الصنف[[#This Row],[تصنيف فرعي (2)]],4)</f>
        <v>1309</v>
      </c>
      <c r="H137" s="5" t="s">
        <v>997</v>
      </c>
      <c r="I137" s="5" t="str">
        <f>LEFT(الصنف[[#This Row],[تصنيف فرعي (1)]],2)</f>
        <v>13</v>
      </c>
      <c r="J137" s="1" t="s">
        <v>664</v>
      </c>
      <c r="K137" s="1">
        <f>VLOOKUP(الصنف[[#This Row],[وحده القياس]],$S$4:$T$67,2,TRUE)</f>
        <v>60</v>
      </c>
      <c r="L137" s="1" t="s">
        <v>686</v>
      </c>
      <c r="M137" s="1">
        <v>1000</v>
      </c>
      <c r="N137" s="6" t="s">
        <v>678</v>
      </c>
      <c r="O137" s="7"/>
      <c r="P137" s="9">
        <f>IF(الصنف[[#This Row],[وحده المكونات]]="جرام",1,0)</f>
        <v>1</v>
      </c>
    </row>
    <row r="138" spans="2:16" ht="20.100000000000001" customHeight="1" x14ac:dyDescent="0.2">
      <c r="B138" s="4">
        <v>136</v>
      </c>
      <c r="C138" s="4">
        <v>1309004</v>
      </c>
      <c r="D138" s="2" t="s">
        <v>49</v>
      </c>
      <c r="E138" s="2" t="s">
        <v>890</v>
      </c>
      <c r="G138" s="1" t="str">
        <f>LEFT(الصنف[[#This Row],[تصنيف فرعي (2)]],4)</f>
        <v>1309</v>
      </c>
      <c r="H138" s="5" t="s">
        <v>997</v>
      </c>
      <c r="I138" s="5" t="str">
        <f>LEFT(الصنف[[#This Row],[تصنيف فرعي (1)]],2)</f>
        <v>13</v>
      </c>
      <c r="J138" s="1" t="s">
        <v>664</v>
      </c>
      <c r="K138" s="1">
        <f>VLOOKUP(الصنف[[#This Row],[وحده القياس]],$S$4:$T$67,2,TRUE)</f>
        <v>60</v>
      </c>
      <c r="L138" s="1" t="s">
        <v>686</v>
      </c>
      <c r="M138" s="1">
        <v>1000</v>
      </c>
      <c r="N138" s="6" t="s">
        <v>678</v>
      </c>
      <c r="O138" s="7"/>
      <c r="P138" s="9">
        <f>IF(الصنف[[#This Row],[وحده المكونات]]="جرام",1,0)</f>
        <v>1</v>
      </c>
    </row>
    <row r="139" spans="2:16" ht="20.100000000000001" customHeight="1" x14ac:dyDescent="0.2">
      <c r="B139" s="4">
        <v>137</v>
      </c>
      <c r="C139" s="4">
        <v>1309005</v>
      </c>
      <c r="D139" s="2" t="s">
        <v>51</v>
      </c>
      <c r="E139" s="2" t="s">
        <v>891</v>
      </c>
      <c r="G139" s="1" t="str">
        <f>LEFT(الصنف[[#This Row],[تصنيف فرعي (2)]],4)</f>
        <v>1309</v>
      </c>
      <c r="H139" s="5" t="s">
        <v>997</v>
      </c>
      <c r="I139" s="5" t="str">
        <f>LEFT(الصنف[[#This Row],[تصنيف فرعي (1)]],2)</f>
        <v>13</v>
      </c>
      <c r="J139" s="1" t="s">
        <v>664</v>
      </c>
      <c r="K139" s="1">
        <f>VLOOKUP(الصنف[[#This Row],[وحده القياس]],$S$4:$T$67,2,TRUE)</f>
        <v>60</v>
      </c>
      <c r="L139" s="1" t="s">
        <v>686</v>
      </c>
      <c r="M139" s="1">
        <v>1000</v>
      </c>
      <c r="N139" s="6" t="s">
        <v>678</v>
      </c>
      <c r="O139" s="7"/>
      <c r="P139" s="9">
        <f>IF(الصنف[[#This Row],[وحده المكونات]]="جرام",1,0)</f>
        <v>1</v>
      </c>
    </row>
    <row r="140" spans="2:16" ht="20.100000000000001" customHeight="1" x14ac:dyDescent="0.2">
      <c r="B140" s="4">
        <v>138</v>
      </c>
      <c r="C140" s="4">
        <v>1309006</v>
      </c>
      <c r="D140" s="2" t="s">
        <v>50</v>
      </c>
      <c r="E140" s="2" t="s">
        <v>892</v>
      </c>
      <c r="G140" s="1" t="str">
        <f>LEFT(الصنف[[#This Row],[تصنيف فرعي (2)]],4)</f>
        <v>1309</v>
      </c>
      <c r="H140" s="5" t="s">
        <v>997</v>
      </c>
      <c r="I140" s="5" t="str">
        <f>LEFT(الصنف[[#This Row],[تصنيف فرعي (1)]],2)</f>
        <v>13</v>
      </c>
      <c r="J140" s="1" t="s">
        <v>664</v>
      </c>
      <c r="K140" s="1">
        <f>VLOOKUP(الصنف[[#This Row],[وحده القياس]],$S$4:$T$67,2,TRUE)</f>
        <v>60</v>
      </c>
      <c r="L140" s="1" t="s">
        <v>686</v>
      </c>
      <c r="M140" s="1">
        <v>1000</v>
      </c>
      <c r="N140" s="6" t="s">
        <v>678</v>
      </c>
      <c r="O140" s="7"/>
      <c r="P140" s="9">
        <f>IF(الصنف[[#This Row],[وحده المكونات]]="جرام",1,0)</f>
        <v>1</v>
      </c>
    </row>
    <row r="141" spans="2:16" ht="20.100000000000001" customHeight="1" x14ac:dyDescent="0.2">
      <c r="B141" s="4">
        <v>139</v>
      </c>
      <c r="C141" s="4">
        <v>1309007</v>
      </c>
      <c r="D141" s="2" t="s">
        <v>408</v>
      </c>
      <c r="E141" s="2" t="s">
        <v>408</v>
      </c>
      <c r="G141" s="1" t="str">
        <f>LEFT(الصنف[[#This Row],[تصنيف فرعي (2)]],4)</f>
        <v>1309</v>
      </c>
      <c r="H141" s="5" t="s">
        <v>997</v>
      </c>
      <c r="I141" s="5" t="str">
        <f>LEFT(الصنف[[#This Row],[تصنيف فرعي (1)]],2)</f>
        <v>13</v>
      </c>
      <c r="J141" s="1" t="s">
        <v>664</v>
      </c>
      <c r="K141" s="1">
        <f>VLOOKUP(الصنف[[#This Row],[وحده القياس]],$S$4:$T$67,2,TRUE)</f>
        <v>39</v>
      </c>
      <c r="L141" s="1" t="s">
        <v>886</v>
      </c>
      <c r="M141" s="1">
        <v>50</v>
      </c>
      <c r="N141" s="6" t="s">
        <v>919</v>
      </c>
      <c r="O141" s="7"/>
      <c r="P141" s="9">
        <f>IF(الصنف[[#This Row],[وحده المكونات]]="جرام",1,0)</f>
        <v>0</v>
      </c>
    </row>
    <row r="142" spans="2:16" ht="20.100000000000001" customHeight="1" x14ac:dyDescent="0.2">
      <c r="B142" s="4">
        <v>140</v>
      </c>
      <c r="C142" s="4">
        <v>1309008</v>
      </c>
      <c r="D142" s="2" t="s">
        <v>406</v>
      </c>
      <c r="E142" s="2" t="s">
        <v>406</v>
      </c>
      <c r="G142" s="1" t="str">
        <f>LEFT(الصنف[[#This Row],[تصنيف فرعي (2)]],4)</f>
        <v>1309</v>
      </c>
      <c r="H142" s="5" t="s">
        <v>997</v>
      </c>
      <c r="I142" s="5" t="str">
        <f>LEFT(الصنف[[#This Row],[تصنيف فرعي (1)]],2)</f>
        <v>13</v>
      </c>
      <c r="J142" s="1" t="s">
        <v>664</v>
      </c>
      <c r="K142" s="1">
        <f>VLOOKUP(الصنف[[#This Row],[وحده القياس]],$S$4:$T$67,2,TRUE)</f>
        <v>60</v>
      </c>
      <c r="L142" s="1" t="s">
        <v>686</v>
      </c>
      <c r="M142" s="1">
        <v>1000</v>
      </c>
      <c r="N142" s="6" t="s">
        <v>678</v>
      </c>
      <c r="O142" s="7"/>
      <c r="P142" s="9">
        <f>IF(الصنف[[#This Row],[وحده المكونات]]="جرام",1,0)</f>
        <v>1</v>
      </c>
    </row>
    <row r="143" spans="2:16" ht="20.100000000000001" customHeight="1" x14ac:dyDescent="0.2">
      <c r="B143" s="4">
        <v>141</v>
      </c>
      <c r="C143" s="4">
        <v>1309009</v>
      </c>
      <c r="D143" s="2" t="s">
        <v>407</v>
      </c>
      <c r="E143" s="2" t="s">
        <v>407</v>
      </c>
      <c r="G143" s="1" t="str">
        <f>LEFT(الصنف[[#This Row],[تصنيف فرعي (2)]],4)</f>
        <v>1309</v>
      </c>
      <c r="H143" s="5" t="s">
        <v>997</v>
      </c>
      <c r="I143" s="5" t="str">
        <f>LEFT(الصنف[[#This Row],[تصنيف فرعي (1)]],2)</f>
        <v>13</v>
      </c>
      <c r="J143" s="1" t="s">
        <v>664</v>
      </c>
      <c r="K143" s="1">
        <f>VLOOKUP(الصنف[[#This Row],[وحده القياس]],$S$4:$T$67,2,TRUE)</f>
        <v>60</v>
      </c>
      <c r="L143" s="1" t="s">
        <v>686</v>
      </c>
      <c r="M143" s="1">
        <v>1000</v>
      </c>
      <c r="N143" s="6" t="s">
        <v>678</v>
      </c>
      <c r="O143" s="7"/>
      <c r="P143" s="9">
        <f>IF(الصنف[[#This Row],[وحده المكونات]]="جرام",1,0)</f>
        <v>1</v>
      </c>
    </row>
    <row r="144" spans="2:16" ht="20.100000000000001" customHeight="1" x14ac:dyDescent="0.2">
      <c r="B144" s="4">
        <v>142</v>
      </c>
      <c r="C144" s="4">
        <v>1309010</v>
      </c>
      <c r="D144" s="2" t="s">
        <v>318</v>
      </c>
      <c r="E144" s="2" t="s">
        <v>318</v>
      </c>
      <c r="G144" s="1" t="str">
        <f>LEFT(الصنف[[#This Row],[تصنيف فرعي (2)]],4)</f>
        <v>1309</v>
      </c>
      <c r="H144" s="5" t="s">
        <v>997</v>
      </c>
      <c r="I144" s="5" t="str">
        <f>LEFT(الصنف[[#This Row],[تصنيف فرعي (1)]],2)</f>
        <v>13</v>
      </c>
      <c r="J144" s="1" t="s">
        <v>664</v>
      </c>
      <c r="K144" s="1">
        <f>VLOOKUP(الصنف[[#This Row],[وحده القياس]],$S$4:$T$67,2,TRUE)</f>
        <v>39</v>
      </c>
      <c r="L144" s="1" t="s">
        <v>886</v>
      </c>
      <c r="M144" s="1">
        <v>50</v>
      </c>
      <c r="N144" s="6" t="s">
        <v>919</v>
      </c>
      <c r="O144" s="7"/>
      <c r="P144" s="9">
        <f>IF(الصنف[[#This Row],[وحده المكونات]]="جرام",1,0)</f>
        <v>0</v>
      </c>
    </row>
    <row r="145" spans="2:16" ht="20.100000000000001" customHeight="1" x14ac:dyDescent="0.2">
      <c r="B145" s="4">
        <v>143</v>
      </c>
      <c r="C145" s="4">
        <v>1309011</v>
      </c>
      <c r="D145" s="2" t="s">
        <v>469</v>
      </c>
      <c r="E145" s="2" t="s">
        <v>469</v>
      </c>
      <c r="G145" s="1" t="str">
        <f>LEFT(الصنف[[#This Row],[تصنيف فرعي (2)]],4)</f>
        <v>1309</v>
      </c>
      <c r="H145" s="5" t="s">
        <v>997</v>
      </c>
      <c r="I145" s="5" t="str">
        <f>LEFT(الصنف[[#This Row],[تصنيف فرعي (1)]],2)</f>
        <v>13</v>
      </c>
      <c r="J145" s="1" t="s">
        <v>664</v>
      </c>
      <c r="K145" s="1">
        <f>VLOOKUP(الصنف[[#This Row],[وحده القياس]],$S$4:$T$67,2,TRUE)</f>
        <v>39</v>
      </c>
      <c r="L145" s="1" t="s">
        <v>886</v>
      </c>
      <c r="M145" s="1">
        <v>50</v>
      </c>
      <c r="N145" s="6" t="s">
        <v>919</v>
      </c>
      <c r="O145" s="7"/>
      <c r="P145" s="9">
        <f>IF(الصنف[[#This Row],[وحده المكونات]]="جرام",1,0)</f>
        <v>0</v>
      </c>
    </row>
    <row r="146" spans="2:16" ht="20.100000000000001" customHeight="1" x14ac:dyDescent="0.2">
      <c r="B146" s="4">
        <v>144</v>
      </c>
      <c r="C146" s="4">
        <v>1309012</v>
      </c>
      <c r="D146" s="2" t="s">
        <v>936</v>
      </c>
      <c r="E146" s="2" t="s">
        <v>47</v>
      </c>
      <c r="G146" s="1" t="str">
        <f>LEFT(الصنف[[#This Row],[تصنيف فرعي (2)]],4)</f>
        <v>1309</v>
      </c>
      <c r="H146" s="5" t="s">
        <v>997</v>
      </c>
      <c r="I146" s="5" t="str">
        <f>LEFT(الصنف[[#This Row],[تصنيف فرعي (1)]],2)</f>
        <v>13</v>
      </c>
      <c r="J146" s="1" t="s">
        <v>664</v>
      </c>
      <c r="K146" s="1">
        <f>VLOOKUP(الصنف[[#This Row],[وحده القياس]],$S$4:$T$67,2,TRUE)</f>
        <v>39</v>
      </c>
      <c r="L146" s="1" t="s">
        <v>886</v>
      </c>
      <c r="M146" s="1">
        <v>50</v>
      </c>
      <c r="N146" s="6" t="s">
        <v>919</v>
      </c>
      <c r="O146" s="7"/>
      <c r="P146" s="9">
        <f>IF(الصنف[[#This Row],[وحده المكونات]]="جرام",1,0)</f>
        <v>0</v>
      </c>
    </row>
    <row r="147" spans="2:16" ht="20.100000000000001" customHeight="1" x14ac:dyDescent="0.2">
      <c r="B147" s="4">
        <v>145</v>
      </c>
      <c r="C147" s="4">
        <v>1309013</v>
      </c>
      <c r="D147" s="2" t="s">
        <v>336</v>
      </c>
      <c r="E147" s="2" t="s">
        <v>336</v>
      </c>
      <c r="G147" s="1" t="str">
        <f>LEFT(الصنف[[#This Row],[تصنيف فرعي (2)]],4)</f>
        <v>1309</v>
      </c>
      <c r="H147" s="5" t="s">
        <v>997</v>
      </c>
      <c r="I147" s="5" t="str">
        <f>LEFT(الصنف[[#This Row],[تصنيف فرعي (1)]],2)</f>
        <v>13</v>
      </c>
      <c r="J147" s="1" t="s">
        <v>664</v>
      </c>
      <c r="K147" s="1">
        <f>VLOOKUP(الصنف[[#This Row],[وحده القياس]],$S$4:$T$67,2,TRUE)</f>
        <v>5</v>
      </c>
      <c r="L147" s="1" t="s">
        <v>943</v>
      </c>
      <c r="M147" s="1">
        <v>190</v>
      </c>
      <c r="N147" s="6" t="s">
        <v>678</v>
      </c>
      <c r="O147" s="7"/>
      <c r="P147" s="9">
        <f>IF(الصنف[[#This Row],[وحده المكونات]]="جرام",1,0)</f>
        <v>1</v>
      </c>
    </row>
    <row r="148" spans="2:16" ht="20.100000000000001" customHeight="1" x14ac:dyDescent="0.2">
      <c r="B148" s="4">
        <v>146</v>
      </c>
      <c r="C148" s="4">
        <v>1309014</v>
      </c>
      <c r="D148" s="2" t="s">
        <v>45</v>
      </c>
      <c r="E148" s="2" t="s">
        <v>45</v>
      </c>
      <c r="G148" s="1" t="str">
        <f>LEFT(الصنف[[#This Row],[تصنيف فرعي (2)]],4)</f>
        <v>1309</v>
      </c>
      <c r="H148" s="5" t="s">
        <v>997</v>
      </c>
      <c r="I148" s="5" t="str">
        <f>LEFT(الصنف[[#This Row],[تصنيف فرعي (1)]],2)</f>
        <v>13</v>
      </c>
      <c r="J148" s="1" t="s">
        <v>664</v>
      </c>
      <c r="K148" s="1">
        <f>VLOOKUP(الصنف[[#This Row],[وحده القياس]],$S$4:$T$67,2,TRUE)</f>
        <v>39</v>
      </c>
      <c r="L148" s="1" t="s">
        <v>886</v>
      </c>
      <c r="M148" s="1">
        <v>50</v>
      </c>
      <c r="N148" s="6" t="s">
        <v>919</v>
      </c>
      <c r="O148" s="7"/>
      <c r="P148" s="9">
        <f>IF(الصنف[[#This Row],[وحده المكونات]]="جرام",1,0)</f>
        <v>0</v>
      </c>
    </row>
    <row r="149" spans="2:16" ht="20.100000000000001" customHeight="1" x14ac:dyDescent="0.2">
      <c r="B149" s="4">
        <v>147</v>
      </c>
      <c r="C149" s="4">
        <v>1309015</v>
      </c>
      <c r="D149" s="2" t="s">
        <v>46</v>
      </c>
      <c r="E149" s="2" t="s">
        <v>46</v>
      </c>
      <c r="G149" s="1" t="str">
        <f>LEFT(الصنف[[#This Row],[تصنيف فرعي (2)]],4)</f>
        <v>1309</v>
      </c>
      <c r="H149" s="5" t="s">
        <v>997</v>
      </c>
      <c r="I149" s="5" t="str">
        <f>LEFT(الصنف[[#This Row],[تصنيف فرعي (1)]],2)</f>
        <v>13</v>
      </c>
      <c r="J149" s="1" t="s">
        <v>664</v>
      </c>
      <c r="K149" s="1">
        <f>VLOOKUP(الصنف[[#This Row],[وحده القياس]],$S$4:$T$67,2,TRUE)</f>
        <v>39</v>
      </c>
      <c r="L149" s="1" t="s">
        <v>886</v>
      </c>
      <c r="M149" s="1">
        <v>50</v>
      </c>
      <c r="N149" s="6" t="s">
        <v>919</v>
      </c>
      <c r="O149" s="7"/>
      <c r="P149" s="9">
        <f>IF(الصنف[[#This Row],[وحده المكونات]]="جرام",1,0)</f>
        <v>0</v>
      </c>
    </row>
    <row r="150" spans="2:16" ht="20.100000000000001" customHeight="1" x14ac:dyDescent="0.2">
      <c r="B150" s="4">
        <v>148</v>
      </c>
      <c r="C150" s="4">
        <v>1310001</v>
      </c>
      <c r="D150" s="2" t="s">
        <v>885</v>
      </c>
      <c r="E150" s="2" t="s">
        <v>409</v>
      </c>
      <c r="G150" s="1" t="str">
        <f>LEFT(الصنف[[#This Row],[تصنيف فرعي (2)]],4)</f>
        <v>1310</v>
      </c>
      <c r="H150" s="5" t="s">
        <v>998</v>
      </c>
      <c r="I150" s="5" t="str">
        <f>LEFT(الصنف[[#This Row],[تصنيف فرعي (1)]],2)</f>
        <v>13</v>
      </c>
      <c r="J150" s="1" t="s">
        <v>664</v>
      </c>
      <c r="K150" s="1">
        <f>VLOOKUP(الصنف[[#This Row],[وحده القياس]],$S$4:$T$67,2,TRUE)</f>
        <v>51</v>
      </c>
      <c r="L150" s="1" t="s">
        <v>761</v>
      </c>
      <c r="M150" s="1">
        <v>1000</v>
      </c>
      <c r="N150" s="6" t="s">
        <v>678</v>
      </c>
      <c r="O150" s="7"/>
      <c r="P150" s="9">
        <f>IF(الصنف[[#This Row],[وحده المكونات]]="جرام",1,0)</f>
        <v>1</v>
      </c>
    </row>
    <row r="151" spans="2:16" ht="20.100000000000001" customHeight="1" x14ac:dyDescent="0.2">
      <c r="B151" s="4">
        <v>149</v>
      </c>
      <c r="C151" s="4">
        <v>1310002</v>
      </c>
      <c r="D151" s="2" t="s">
        <v>784</v>
      </c>
      <c r="E151" s="2" t="s">
        <v>757</v>
      </c>
      <c r="G151" s="1" t="str">
        <f>LEFT(الصنف[[#This Row],[تصنيف فرعي (2)]],4)</f>
        <v>1310</v>
      </c>
      <c r="H151" s="5" t="s">
        <v>998</v>
      </c>
      <c r="I151" s="5" t="str">
        <f>LEFT(الصنف[[#This Row],[تصنيف فرعي (1)]],2)</f>
        <v>13</v>
      </c>
      <c r="J151" s="1" t="s">
        <v>664</v>
      </c>
      <c r="K151" s="1">
        <f>VLOOKUP(الصنف[[#This Row],[وحده القياس]],$S$4:$T$67,2,TRUE)</f>
        <v>51</v>
      </c>
      <c r="L151" s="1" t="s">
        <v>761</v>
      </c>
      <c r="M151" s="1">
        <v>1000</v>
      </c>
      <c r="N151" s="6" t="s">
        <v>678</v>
      </c>
      <c r="O151" s="7"/>
      <c r="P151" s="9">
        <f>IF(الصنف[[#This Row],[وحده المكونات]]="جرام",1,0)</f>
        <v>1</v>
      </c>
    </row>
    <row r="152" spans="2:16" ht="20.100000000000001" customHeight="1" x14ac:dyDescent="0.2">
      <c r="B152" s="4">
        <v>150</v>
      </c>
      <c r="C152" s="4">
        <v>1310003</v>
      </c>
      <c r="D152" s="2" t="s">
        <v>785</v>
      </c>
      <c r="E152" s="2" t="s">
        <v>327</v>
      </c>
      <c r="G152" s="1" t="str">
        <f>LEFT(الصنف[[#This Row],[تصنيف فرعي (2)]],4)</f>
        <v>1310</v>
      </c>
      <c r="H152" s="5" t="s">
        <v>998</v>
      </c>
      <c r="I152" s="5" t="str">
        <f>LEFT(الصنف[[#This Row],[تصنيف فرعي (1)]],2)</f>
        <v>13</v>
      </c>
      <c r="J152" s="1" t="s">
        <v>664</v>
      </c>
      <c r="K152" s="1">
        <f>VLOOKUP(الصنف[[#This Row],[وحده القياس]],$S$4:$T$67,2,TRUE)</f>
        <v>51</v>
      </c>
      <c r="L152" s="1" t="s">
        <v>761</v>
      </c>
      <c r="M152" s="1">
        <v>1000</v>
      </c>
      <c r="N152" s="6" t="s">
        <v>678</v>
      </c>
      <c r="O152" s="7"/>
      <c r="P152" s="9">
        <f>IF(الصنف[[#This Row],[وحده المكونات]]="جرام",1,0)</f>
        <v>1</v>
      </c>
    </row>
    <row r="153" spans="2:16" ht="20.100000000000001" customHeight="1" x14ac:dyDescent="0.2">
      <c r="B153" s="4">
        <v>151</v>
      </c>
      <c r="C153" s="4">
        <v>1311001</v>
      </c>
      <c r="D153" s="2" t="s">
        <v>473</v>
      </c>
      <c r="E153" s="2" t="s">
        <v>473</v>
      </c>
      <c r="G153" s="1" t="str">
        <f>LEFT(الصنف[[#This Row],[تصنيف فرعي (2)]],4)</f>
        <v>1311</v>
      </c>
      <c r="H153" s="5" t="s">
        <v>999</v>
      </c>
      <c r="I153" s="5" t="str">
        <f>LEFT(الصنف[[#This Row],[تصنيف فرعي (1)]],2)</f>
        <v>13</v>
      </c>
      <c r="J153" s="1" t="s">
        <v>664</v>
      </c>
      <c r="K153" s="1">
        <f>VLOOKUP(الصنف[[#This Row],[وحده القياس]],$S$4:$T$67,2,TRUE)</f>
        <v>60</v>
      </c>
      <c r="L153" s="1" t="s">
        <v>686</v>
      </c>
      <c r="M153" s="1">
        <v>1000</v>
      </c>
      <c r="N153" s="6" t="s">
        <v>678</v>
      </c>
      <c r="O153" s="7"/>
      <c r="P153" s="9">
        <f>IF(الصنف[[#This Row],[وحده المكونات]]="جرام",1,0)</f>
        <v>1</v>
      </c>
    </row>
    <row r="154" spans="2:16" ht="20.100000000000001" customHeight="1" x14ac:dyDescent="0.2">
      <c r="B154" s="4">
        <v>152</v>
      </c>
      <c r="C154" s="4">
        <v>1311002</v>
      </c>
      <c r="D154" s="2" t="s">
        <v>414</v>
      </c>
      <c r="E154" s="2" t="s">
        <v>414</v>
      </c>
      <c r="G154" s="1" t="str">
        <f>LEFT(الصنف[[#This Row],[تصنيف فرعي (2)]],4)</f>
        <v>1311</v>
      </c>
      <c r="H154" s="5" t="s">
        <v>999</v>
      </c>
      <c r="I154" s="5" t="str">
        <f>LEFT(الصنف[[#This Row],[تصنيف فرعي (1)]],2)</f>
        <v>13</v>
      </c>
      <c r="J154" s="1" t="s">
        <v>664</v>
      </c>
      <c r="K154" s="1">
        <f>VLOOKUP(الصنف[[#This Row],[وحده القياس]],$S$4:$T$67,2,TRUE)</f>
        <v>14</v>
      </c>
      <c r="L154" s="1" t="s">
        <v>381</v>
      </c>
      <c r="M154" s="1">
        <v>1</v>
      </c>
      <c r="N154" s="6" t="s">
        <v>381</v>
      </c>
      <c r="O154" s="7"/>
      <c r="P154" s="9">
        <f>IF(الصنف[[#This Row],[وحده المكونات]]="جرام",1,0)</f>
        <v>0</v>
      </c>
    </row>
    <row r="155" spans="2:16" ht="20.100000000000001" customHeight="1" x14ac:dyDescent="0.2">
      <c r="B155" s="4">
        <v>153</v>
      </c>
      <c r="C155" s="4">
        <v>1311003</v>
      </c>
      <c r="D155" s="2" t="s">
        <v>599</v>
      </c>
      <c r="E155" s="2" t="s">
        <v>599</v>
      </c>
      <c r="G155" s="1" t="str">
        <f>LEFT(الصنف[[#This Row],[تصنيف فرعي (2)]],4)</f>
        <v>1311</v>
      </c>
      <c r="H155" s="5" t="s">
        <v>999</v>
      </c>
      <c r="I155" s="5" t="str">
        <f>LEFT(الصنف[[#This Row],[تصنيف فرعي (1)]],2)</f>
        <v>13</v>
      </c>
      <c r="J155" s="1" t="s">
        <v>664</v>
      </c>
      <c r="K155" s="1">
        <f>VLOOKUP(الصنف[[#This Row],[وحده القياس]],$S$4:$T$67,2,TRUE)</f>
        <v>35</v>
      </c>
      <c r="L155" s="1" t="s">
        <v>759</v>
      </c>
      <c r="M155" s="1">
        <v>1000</v>
      </c>
      <c r="N155" s="6" t="s">
        <v>743</v>
      </c>
      <c r="O155" s="7"/>
      <c r="P155" s="9">
        <f>IF(الصنف[[#This Row],[وحده المكونات]]="جرام",1,0)</f>
        <v>0</v>
      </c>
    </row>
    <row r="156" spans="2:16" ht="20.100000000000001" customHeight="1" x14ac:dyDescent="0.2">
      <c r="B156" s="4">
        <v>154</v>
      </c>
      <c r="C156" s="4">
        <v>1311004</v>
      </c>
      <c r="D156" s="2" t="s">
        <v>415</v>
      </c>
      <c r="E156" s="2" t="s">
        <v>415</v>
      </c>
      <c r="G156" s="1" t="str">
        <f>LEFT(الصنف[[#This Row],[تصنيف فرعي (2)]],4)</f>
        <v>1311</v>
      </c>
      <c r="H156" s="5" t="s">
        <v>999</v>
      </c>
      <c r="I156" s="5" t="str">
        <f>LEFT(الصنف[[#This Row],[تصنيف فرعي (1)]],2)</f>
        <v>13</v>
      </c>
      <c r="J156" s="1" t="s">
        <v>664</v>
      </c>
      <c r="K156" s="1">
        <f>VLOOKUP(الصنف[[#This Row],[وحده القياس]],$S$4:$T$67,2,TRUE)</f>
        <v>14</v>
      </c>
      <c r="L156" s="1" t="s">
        <v>381</v>
      </c>
      <c r="M156" s="1">
        <v>1</v>
      </c>
      <c r="N156" s="6" t="s">
        <v>381</v>
      </c>
      <c r="O156" s="7"/>
      <c r="P156" s="9">
        <f>IF(الصنف[[#This Row],[وحده المكونات]]="جرام",1,0)</f>
        <v>0</v>
      </c>
    </row>
    <row r="157" spans="2:16" ht="20.100000000000001" customHeight="1" x14ac:dyDescent="0.2">
      <c r="B157" s="4">
        <v>155</v>
      </c>
      <c r="C157" s="4">
        <v>1311005</v>
      </c>
      <c r="D157" s="2" t="s">
        <v>416</v>
      </c>
      <c r="E157" s="2" t="s">
        <v>416</v>
      </c>
      <c r="G157" s="1" t="str">
        <f>LEFT(الصنف[[#This Row],[تصنيف فرعي (2)]],4)</f>
        <v>1311</v>
      </c>
      <c r="H157" s="5" t="s">
        <v>999</v>
      </c>
      <c r="I157" s="5" t="str">
        <f>LEFT(الصنف[[#This Row],[تصنيف فرعي (1)]],2)</f>
        <v>13</v>
      </c>
      <c r="J157" s="1" t="s">
        <v>664</v>
      </c>
      <c r="K157" s="1">
        <f>VLOOKUP(الصنف[[#This Row],[وحده القياس]],$S$4:$T$67,2,TRUE)</f>
        <v>14</v>
      </c>
      <c r="L157" s="1" t="s">
        <v>381</v>
      </c>
      <c r="M157" s="1">
        <v>1</v>
      </c>
      <c r="N157" s="6" t="s">
        <v>381</v>
      </c>
      <c r="O157" s="7"/>
      <c r="P157" s="9">
        <f>IF(الصنف[[#This Row],[وحده المكونات]]="جرام",1,0)</f>
        <v>0</v>
      </c>
    </row>
    <row r="158" spans="2:16" ht="20.100000000000001" customHeight="1" x14ac:dyDescent="0.2">
      <c r="B158" s="4">
        <v>156</v>
      </c>
      <c r="C158" s="4">
        <v>1311006</v>
      </c>
      <c r="D158" s="2" t="s">
        <v>413</v>
      </c>
      <c r="E158" s="2" t="s">
        <v>413</v>
      </c>
      <c r="G158" s="1" t="str">
        <f>LEFT(الصنف[[#This Row],[تصنيف فرعي (2)]],4)</f>
        <v>1311</v>
      </c>
      <c r="H158" s="5" t="s">
        <v>999</v>
      </c>
      <c r="I158" s="5" t="str">
        <f>LEFT(الصنف[[#This Row],[تصنيف فرعي (1)]],2)</f>
        <v>13</v>
      </c>
      <c r="J158" s="1" t="s">
        <v>664</v>
      </c>
      <c r="K158" s="1">
        <f>VLOOKUP(الصنف[[#This Row],[وحده القياس]],$S$4:$T$67,2,TRUE)</f>
        <v>14</v>
      </c>
      <c r="L158" s="1" t="s">
        <v>381</v>
      </c>
      <c r="M158" s="1">
        <v>1</v>
      </c>
      <c r="N158" s="6" t="s">
        <v>381</v>
      </c>
      <c r="O158" s="7"/>
      <c r="P158" s="9">
        <f>IF(الصنف[[#This Row],[وحده المكونات]]="جرام",1,0)</f>
        <v>0</v>
      </c>
    </row>
    <row r="159" spans="2:16" ht="20.100000000000001" customHeight="1" x14ac:dyDescent="0.2">
      <c r="B159" s="4">
        <v>157</v>
      </c>
      <c r="C159" s="4">
        <v>1312001</v>
      </c>
      <c r="D159" s="2" t="s">
        <v>505</v>
      </c>
      <c r="E159" s="2" t="s">
        <v>505</v>
      </c>
      <c r="G159" s="1" t="str">
        <f>LEFT(الصنف[[#This Row],[تصنيف فرعي (2)]],4)</f>
        <v>1312</v>
      </c>
      <c r="H159" s="5" t="s">
        <v>1000</v>
      </c>
      <c r="I159" s="5" t="str">
        <f>LEFT(الصنف[[#This Row],[تصنيف فرعي (1)]],2)</f>
        <v>13</v>
      </c>
      <c r="J159" s="1" t="s">
        <v>664</v>
      </c>
      <c r="K159" s="1">
        <f>VLOOKUP(الصنف[[#This Row],[وحده القياس]],$S$4:$T$67,2,TRUE)</f>
        <v>43</v>
      </c>
      <c r="L159" s="1" t="s">
        <v>742</v>
      </c>
      <c r="M159" s="1">
        <v>1</v>
      </c>
      <c r="N159" s="6" t="s">
        <v>742</v>
      </c>
      <c r="O159" s="7"/>
      <c r="P159" s="9">
        <f>IF(الصنف[[#This Row],[وحده المكونات]]="جرام",1,0)</f>
        <v>0</v>
      </c>
    </row>
    <row r="160" spans="2:16" ht="20.100000000000001" customHeight="1" x14ac:dyDescent="0.2">
      <c r="B160" s="4">
        <v>158</v>
      </c>
      <c r="C160" s="4">
        <v>1313001</v>
      </c>
      <c r="D160" s="2" t="s">
        <v>968</v>
      </c>
      <c r="E160" s="2" t="s">
        <v>429</v>
      </c>
      <c r="G160" s="1" t="str">
        <f>LEFT(الصنف[[#This Row],[تصنيف فرعي (2)]],4)</f>
        <v>1313</v>
      </c>
      <c r="H160" s="5" t="s">
        <v>1001</v>
      </c>
      <c r="I160" s="5" t="str">
        <f>LEFT(الصنف[[#This Row],[تصنيف فرعي (1)]],2)</f>
        <v>13</v>
      </c>
      <c r="J160" s="1" t="s">
        <v>664</v>
      </c>
      <c r="K160" s="1">
        <f>VLOOKUP(الصنف[[#This Row],[وحده القياس]],$S$4:$T$67,2,TRUE)</f>
        <v>22</v>
      </c>
      <c r="L160" s="1" t="s">
        <v>944</v>
      </c>
      <c r="M160" s="1">
        <v>750</v>
      </c>
      <c r="N160" s="6" t="s">
        <v>743</v>
      </c>
      <c r="O160" s="7"/>
      <c r="P160" s="9">
        <f>IF(الصنف[[#This Row],[وحده المكونات]]="جرام",1,0)</f>
        <v>0</v>
      </c>
    </row>
    <row r="161" spans="2:16" ht="20.100000000000001" customHeight="1" x14ac:dyDescent="0.2">
      <c r="B161" s="4">
        <v>159</v>
      </c>
      <c r="C161" s="4">
        <v>1313002</v>
      </c>
      <c r="D161" s="2" t="s">
        <v>969</v>
      </c>
      <c r="E161" s="2" t="s">
        <v>68</v>
      </c>
      <c r="G161" s="1" t="str">
        <f>LEFT(الصنف[[#This Row],[تصنيف فرعي (2)]],4)</f>
        <v>1313</v>
      </c>
      <c r="H161" s="5" t="s">
        <v>1001</v>
      </c>
      <c r="I161" s="5" t="str">
        <f>LEFT(الصنف[[#This Row],[تصنيف فرعي (1)]],2)</f>
        <v>13</v>
      </c>
      <c r="J161" s="1" t="s">
        <v>664</v>
      </c>
      <c r="K161" s="1">
        <f>VLOOKUP(الصنف[[#This Row],[وحده القياس]],$S$4:$T$67,2,TRUE)</f>
        <v>22</v>
      </c>
      <c r="L161" s="1" t="s">
        <v>944</v>
      </c>
      <c r="M161" s="1">
        <v>750</v>
      </c>
      <c r="N161" s="6" t="s">
        <v>743</v>
      </c>
      <c r="O161" s="7"/>
      <c r="P161" s="9">
        <f>IF(الصنف[[#This Row],[وحده المكونات]]="جرام",1,0)</f>
        <v>0</v>
      </c>
    </row>
    <row r="162" spans="2:16" ht="20.100000000000001" customHeight="1" x14ac:dyDescent="0.2">
      <c r="B162" s="4">
        <v>160</v>
      </c>
      <c r="C162" s="4">
        <v>1313003</v>
      </c>
      <c r="D162" s="2" t="s">
        <v>970</v>
      </c>
      <c r="E162" s="2" t="s">
        <v>70</v>
      </c>
      <c r="G162" s="1" t="str">
        <f>LEFT(الصنف[[#This Row],[تصنيف فرعي (2)]],4)</f>
        <v>1313</v>
      </c>
      <c r="H162" s="5" t="s">
        <v>1001</v>
      </c>
      <c r="I162" s="5" t="str">
        <f>LEFT(الصنف[[#This Row],[تصنيف فرعي (1)]],2)</f>
        <v>13</v>
      </c>
      <c r="J162" s="1" t="s">
        <v>664</v>
      </c>
      <c r="K162" s="1">
        <f>VLOOKUP(الصنف[[#This Row],[وحده القياس]],$S$4:$T$67,2,TRUE)</f>
        <v>22</v>
      </c>
      <c r="L162" s="1" t="s">
        <v>944</v>
      </c>
      <c r="M162" s="1">
        <v>750</v>
      </c>
      <c r="N162" s="6" t="s">
        <v>743</v>
      </c>
      <c r="O162" s="7"/>
      <c r="P162" s="9">
        <f>IF(الصنف[[#This Row],[وحده المكونات]]="جرام",1,0)</f>
        <v>0</v>
      </c>
    </row>
    <row r="163" spans="2:16" ht="20.100000000000001" customHeight="1" x14ac:dyDescent="0.2">
      <c r="B163" s="4">
        <v>161</v>
      </c>
      <c r="C163" s="4">
        <v>1313004</v>
      </c>
      <c r="D163" s="2" t="s">
        <v>971</v>
      </c>
      <c r="E163" s="2" t="s">
        <v>76</v>
      </c>
      <c r="G163" s="1" t="str">
        <f>LEFT(الصنف[[#This Row],[تصنيف فرعي (2)]],4)</f>
        <v>1313</v>
      </c>
      <c r="H163" s="5" t="s">
        <v>1001</v>
      </c>
      <c r="I163" s="5" t="str">
        <f>LEFT(الصنف[[#This Row],[تصنيف فرعي (1)]],2)</f>
        <v>13</v>
      </c>
      <c r="J163" s="1" t="s">
        <v>664</v>
      </c>
      <c r="K163" s="1">
        <f>VLOOKUP(الصنف[[#This Row],[وحده القياس]],$S$4:$T$67,2,TRUE)</f>
        <v>22</v>
      </c>
      <c r="L163" s="1" t="s">
        <v>944</v>
      </c>
      <c r="M163" s="1">
        <v>750</v>
      </c>
      <c r="N163" s="6" t="s">
        <v>743</v>
      </c>
      <c r="O163" s="7"/>
      <c r="P163" s="9">
        <f>IF(الصنف[[#This Row],[وحده المكونات]]="جرام",1,0)</f>
        <v>0</v>
      </c>
    </row>
    <row r="164" spans="2:16" ht="20.100000000000001" customHeight="1" x14ac:dyDescent="0.2">
      <c r="B164" s="4">
        <v>162</v>
      </c>
      <c r="C164" s="4">
        <v>1313005</v>
      </c>
      <c r="D164" s="2" t="s">
        <v>972</v>
      </c>
      <c r="E164" s="2" t="s">
        <v>74</v>
      </c>
      <c r="G164" s="1" t="str">
        <f>LEFT(الصنف[[#This Row],[تصنيف فرعي (2)]],4)</f>
        <v>1313</v>
      </c>
      <c r="H164" s="5" t="s">
        <v>1001</v>
      </c>
      <c r="I164" s="5" t="str">
        <f>LEFT(الصنف[[#This Row],[تصنيف فرعي (1)]],2)</f>
        <v>13</v>
      </c>
      <c r="J164" s="1" t="s">
        <v>664</v>
      </c>
      <c r="K164" s="1">
        <f>VLOOKUP(الصنف[[#This Row],[وحده القياس]],$S$4:$T$67,2,TRUE)</f>
        <v>22</v>
      </c>
      <c r="L164" s="1" t="s">
        <v>944</v>
      </c>
      <c r="M164" s="1">
        <v>750</v>
      </c>
      <c r="N164" s="6" t="s">
        <v>743</v>
      </c>
      <c r="O164" s="7"/>
      <c r="P164" s="9">
        <f>IF(الصنف[[#This Row],[وحده المكونات]]="جرام",1,0)</f>
        <v>0</v>
      </c>
    </row>
    <row r="165" spans="2:16" ht="20.100000000000001" customHeight="1" x14ac:dyDescent="0.2">
      <c r="B165" s="4">
        <v>163</v>
      </c>
      <c r="C165" s="4">
        <v>1313006</v>
      </c>
      <c r="D165" s="2" t="s">
        <v>973</v>
      </c>
      <c r="E165" s="2" t="s">
        <v>72</v>
      </c>
      <c r="G165" s="1" t="str">
        <f>LEFT(الصنف[[#This Row],[تصنيف فرعي (2)]],4)</f>
        <v>1313</v>
      </c>
      <c r="H165" s="5" t="s">
        <v>1001</v>
      </c>
      <c r="I165" s="5" t="str">
        <f>LEFT(الصنف[[#This Row],[تصنيف فرعي (1)]],2)</f>
        <v>13</v>
      </c>
      <c r="J165" s="1" t="s">
        <v>664</v>
      </c>
      <c r="K165" s="1">
        <f>VLOOKUP(الصنف[[#This Row],[وحده القياس]],$S$4:$T$67,2,TRUE)</f>
        <v>22</v>
      </c>
      <c r="L165" s="1" t="s">
        <v>944</v>
      </c>
      <c r="M165" s="1">
        <v>750</v>
      </c>
      <c r="N165" s="6" t="s">
        <v>743</v>
      </c>
      <c r="O165" s="7"/>
      <c r="P165" s="9">
        <f>IF(الصنف[[#This Row],[وحده المكونات]]="جرام",1,0)</f>
        <v>0</v>
      </c>
    </row>
    <row r="166" spans="2:16" ht="20.100000000000001" customHeight="1" x14ac:dyDescent="0.2">
      <c r="B166" s="4">
        <v>164</v>
      </c>
      <c r="C166" s="4">
        <v>1313007</v>
      </c>
      <c r="D166" s="2" t="s">
        <v>974</v>
      </c>
      <c r="E166" s="2" t="s">
        <v>430</v>
      </c>
      <c r="G166" s="1" t="str">
        <f>LEFT(الصنف[[#This Row],[تصنيف فرعي (2)]],4)</f>
        <v>1313</v>
      </c>
      <c r="H166" s="5" t="s">
        <v>1001</v>
      </c>
      <c r="I166" s="5" t="str">
        <f>LEFT(الصنف[[#This Row],[تصنيف فرعي (1)]],2)</f>
        <v>13</v>
      </c>
      <c r="J166" s="1" t="s">
        <v>664</v>
      </c>
      <c r="K166" s="1">
        <f>VLOOKUP(الصنف[[#This Row],[وحده القياس]],$S$4:$T$67,2,TRUE)</f>
        <v>22</v>
      </c>
      <c r="L166" s="1" t="s">
        <v>944</v>
      </c>
      <c r="M166" s="1">
        <v>750</v>
      </c>
      <c r="N166" s="6" t="s">
        <v>743</v>
      </c>
      <c r="O166" s="7"/>
      <c r="P166" s="9">
        <f>IF(الصنف[[#This Row],[وحده المكونات]]="جرام",1,0)</f>
        <v>0</v>
      </c>
    </row>
    <row r="167" spans="2:16" ht="20.100000000000001" customHeight="1" x14ac:dyDescent="0.2">
      <c r="B167" s="4">
        <v>165</v>
      </c>
      <c r="C167" s="4">
        <v>1313008</v>
      </c>
      <c r="D167" s="2" t="s">
        <v>975</v>
      </c>
      <c r="E167" s="2" t="s">
        <v>431</v>
      </c>
      <c r="G167" s="1" t="str">
        <f>LEFT(الصنف[[#This Row],[تصنيف فرعي (2)]],4)</f>
        <v>1313</v>
      </c>
      <c r="H167" s="5" t="s">
        <v>1001</v>
      </c>
      <c r="I167" s="5" t="str">
        <f>LEFT(الصنف[[#This Row],[تصنيف فرعي (1)]],2)</f>
        <v>13</v>
      </c>
      <c r="J167" s="1" t="s">
        <v>664</v>
      </c>
      <c r="K167" s="1">
        <f>VLOOKUP(الصنف[[#This Row],[وحده القياس]],$S$4:$T$67,2,TRUE)</f>
        <v>22</v>
      </c>
      <c r="L167" s="1" t="s">
        <v>944</v>
      </c>
      <c r="M167" s="1">
        <v>750</v>
      </c>
      <c r="N167" s="6" t="s">
        <v>743</v>
      </c>
      <c r="O167" s="7"/>
      <c r="P167" s="9">
        <f>IF(الصنف[[#This Row],[وحده المكونات]]="جرام",1,0)</f>
        <v>0</v>
      </c>
    </row>
    <row r="168" spans="2:16" ht="20.100000000000001" customHeight="1" x14ac:dyDescent="0.2">
      <c r="B168" s="4">
        <v>166</v>
      </c>
      <c r="C168" s="4">
        <v>1313009</v>
      </c>
      <c r="D168" s="2" t="s">
        <v>976</v>
      </c>
      <c r="E168" s="2" t="s">
        <v>71</v>
      </c>
      <c r="G168" s="1" t="str">
        <f>LEFT(الصنف[[#This Row],[تصنيف فرعي (2)]],4)</f>
        <v>1313</v>
      </c>
      <c r="H168" s="5" t="s">
        <v>1001</v>
      </c>
      <c r="I168" s="5" t="str">
        <f>LEFT(الصنف[[#This Row],[تصنيف فرعي (1)]],2)</f>
        <v>13</v>
      </c>
      <c r="J168" s="1" t="s">
        <v>664</v>
      </c>
      <c r="K168" s="1">
        <f>VLOOKUP(الصنف[[#This Row],[وحده القياس]],$S$4:$T$67,2,TRUE)</f>
        <v>22</v>
      </c>
      <c r="L168" s="1" t="s">
        <v>944</v>
      </c>
      <c r="M168" s="1">
        <v>750</v>
      </c>
      <c r="N168" s="6" t="s">
        <v>743</v>
      </c>
      <c r="O168" s="7"/>
      <c r="P168" s="9">
        <f>IF(الصنف[[#This Row],[وحده المكونات]]="جرام",1,0)</f>
        <v>0</v>
      </c>
    </row>
    <row r="169" spans="2:16" ht="20.100000000000001" customHeight="1" x14ac:dyDescent="0.2">
      <c r="B169" s="4">
        <v>167</v>
      </c>
      <c r="C169" s="4">
        <v>1313010</v>
      </c>
      <c r="D169" s="2" t="s">
        <v>977</v>
      </c>
      <c r="E169" s="2" t="s">
        <v>67</v>
      </c>
      <c r="G169" s="1" t="str">
        <f>LEFT(الصنف[[#This Row],[تصنيف فرعي (2)]],4)</f>
        <v>1313</v>
      </c>
      <c r="H169" s="5" t="s">
        <v>1001</v>
      </c>
      <c r="I169" s="5" t="str">
        <f>LEFT(الصنف[[#This Row],[تصنيف فرعي (1)]],2)</f>
        <v>13</v>
      </c>
      <c r="J169" s="1" t="s">
        <v>664</v>
      </c>
      <c r="K169" s="1">
        <f>VLOOKUP(الصنف[[#This Row],[وحده القياس]],$S$4:$T$67,2,TRUE)</f>
        <v>22</v>
      </c>
      <c r="L169" s="1" t="s">
        <v>944</v>
      </c>
      <c r="M169" s="1">
        <v>750</v>
      </c>
      <c r="N169" s="6" t="s">
        <v>743</v>
      </c>
      <c r="O169" s="7"/>
      <c r="P169" s="9">
        <f>IF(الصنف[[#This Row],[وحده المكونات]]="جرام",1,0)</f>
        <v>0</v>
      </c>
    </row>
    <row r="170" spans="2:16" ht="20.100000000000001" customHeight="1" x14ac:dyDescent="0.2">
      <c r="B170" s="4">
        <v>168</v>
      </c>
      <c r="C170" s="4">
        <v>1313011</v>
      </c>
      <c r="D170" s="2" t="s">
        <v>978</v>
      </c>
      <c r="E170" s="2" t="s">
        <v>75</v>
      </c>
      <c r="G170" s="1" t="str">
        <f>LEFT(الصنف[[#This Row],[تصنيف فرعي (2)]],4)</f>
        <v>1313</v>
      </c>
      <c r="H170" s="5" t="s">
        <v>1001</v>
      </c>
      <c r="I170" s="5" t="str">
        <f>LEFT(الصنف[[#This Row],[تصنيف فرعي (1)]],2)</f>
        <v>13</v>
      </c>
      <c r="J170" s="1" t="s">
        <v>664</v>
      </c>
      <c r="K170" s="1">
        <f>VLOOKUP(الصنف[[#This Row],[وحده القياس]],$S$4:$T$67,2,TRUE)</f>
        <v>22</v>
      </c>
      <c r="L170" s="1" t="s">
        <v>944</v>
      </c>
      <c r="M170" s="1">
        <v>750</v>
      </c>
      <c r="N170" s="6" t="s">
        <v>743</v>
      </c>
      <c r="O170" s="7"/>
      <c r="P170" s="9">
        <f>IF(الصنف[[#This Row],[وحده المكونات]]="جرام",1,0)</f>
        <v>0</v>
      </c>
    </row>
    <row r="171" spans="2:16" ht="20.100000000000001" customHeight="1" x14ac:dyDescent="0.2">
      <c r="B171" s="4">
        <v>169</v>
      </c>
      <c r="C171" s="4">
        <v>1313012</v>
      </c>
      <c r="D171" s="2" t="s">
        <v>979</v>
      </c>
      <c r="E171" s="2" t="s">
        <v>73</v>
      </c>
      <c r="G171" s="1" t="str">
        <f>LEFT(الصنف[[#This Row],[تصنيف فرعي (2)]],4)</f>
        <v>1313</v>
      </c>
      <c r="H171" s="5" t="s">
        <v>1001</v>
      </c>
      <c r="I171" s="5" t="str">
        <f>LEFT(الصنف[[#This Row],[تصنيف فرعي (1)]],2)</f>
        <v>13</v>
      </c>
      <c r="J171" s="1" t="s">
        <v>664</v>
      </c>
      <c r="K171" s="1">
        <f>VLOOKUP(الصنف[[#This Row],[وحده القياس]],$S$4:$T$67,2,TRUE)</f>
        <v>22</v>
      </c>
      <c r="L171" s="1" t="s">
        <v>944</v>
      </c>
      <c r="M171" s="1">
        <v>750</v>
      </c>
      <c r="N171" s="6" t="s">
        <v>743</v>
      </c>
      <c r="O171" s="7"/>
      <c r="P171" s="9">
        <f>IF(الصنف[[#This Row],[وحده المكونات]]="جرام",1,0)</f>
        <v>0</v>
      </c>
    </row>
    <row r="172" spans="2:16" ht="20.100000000000001" customHeight="1" x14ac:dyDescent="0.2">
      <c r="B172" s="4">
        <v>170</v>
      </c>
      <c r="C172" s="4">
        <v>1313013</v>
      </c>
      <c r="D172" s="2" t="s">
        <v>980</v>
      </c>
      <c r="E172" s="2" t="s">
        <v>338</v>
      </c>
      <c r="G172" s="1" t="str">
        <f>LEFT(الصنف[[#This Row],[تصنيف فرعي (2)]],4)</f>
        <v>1313</v>
      </c>
      <c r="H172" s="5" t="s">
        <v>1001</v>
      </c>
      <c r="I172" s="5" t="str">
        <f>LEFT(الصنف[[#This Row],[تصنيف فرعي (1)]],2)</f>
        <v>13</v>
      </c>
      <c r="J172" s="1" t="s">
        <v>664</v>
      </c>
      <c r="K172" s="1">
        <f>VLOOKUP(الصنف[[#This Row],[وحده القياس]],$S$4:$T$67,2,TRUE)</f>
        <v>22</v>
      </c>
      <c r="L172" s="1" t="s">
        <v>944</v>
      </c>
      <c r="M172" s="1">
        <v>750</v>
      </c>
      <c r="N172" s="6" t="s">
        <v>743</v>
      </c>
      <c r="O172" s="7"/>
      <c r="P172" s="9">
        <f>IF(الصنف[[#This Row],[وحده المكونات]]="جرام",1,0)</f>
        <v>0</v>
      </c>
    </row>
    <row r="173" spans="2:16" ht="20.100000000000001" customHeight="1" x14ac:dyDescent="0.2">
      <c r="B173" s="4">
        <v>171</v>
      </c>
      <c r="C173" s="4">
        <v>1313014</v>
      </c>
      <c r="D173" s="2" t="s">
        <v>1050</v>
      </c>
      <c r="E173" s="2" t="s">
        <v>69</v>
      </c>
      <c r="G173" s="1" t="str">
        <f>LEFT(الصنف[[#This Row],[تصنيف فرعي (2)]],4)</f>
        <v>1313</v>
      </c>
      <c r="H173" s="5" t="s">
        <v>1001</v>
      </c>
      <c r="I173" s="5" t="str">
        <f>LEFT(الصنف[[#This Row],[تصنيف فرعي (1)]],2)</f>
        <v>13</v>
      </c>
      <c r="J173" s="1" t="s">
        <v>664</v>
      </c>
      <c r="K173" s="1">
        <f>VLOOKUP(الصنف[[#This Row],[وحده القياس]],$S$4:$T$67,2,TRUE)</f>
        <v>22</v>
      </c>
      <c r="L173" s="1" t="s">
        <v>944</v>
      </c>
      <c r="M173" s="1">
        <v>750</v>
      </c>
      <c r="N173" s="6" t="s">
        <v>743</v>
      </c>
      <c r="O173" s="7"/>
      <c r="P173" s="9">
        <f>IF(الصنف[[#This Row],[وحده المكونات]]="جرام",1,0)</f>
        <v>0</v>
      </c>
    </row>
    <row r="174" spans="2:16" ht="20.100000000000001" customHeight="1" x14ac:dyDescent="0.2">
      <c r="B174" s="4">
        <v>172</v>
      </c>
      <c r="C174" s="4">
        <v>1314001</v>
      </c>
      <c r="D174" s="2" t="s">
        <v>255</v>
      </c>
      <c r="E174" s="2" t="s">
        <v>255</v>
      </c>
      <c r="G174" s="1" t="str">
        <f>LEFT(الصنف[[#This Row],[تصنيف فرعي (2)]],4)</f>
        <v>1314</v>
      </c>
      <c r="H174" s="5" t="s">
        <v>1002</v>
      </c>
      <c r="I174" s="5" t="str">
        <f>LEFT(الصنف[[#This Row],[تصنيف فرعي (1)]],2)</f>
        <v>13</v>
      </c>
      <c r="J174" s="1" t="s">
        <v>664</v>
      </c>
      <c r="K174" s="1">
        <f>VLOOKUP(الصنف[[#This Row],[وحده القياس]],$S$4:$T$67,2,TRUE)</f>
        <v>60</v>
      </c>
      <c r="L174" s="1" t="s">
        <v>686</v>
      </c>
      <c r="M174" s="1">
        <v>1000</v>
      </c>
      <c r="N174" s="6" t="s">
        <v>678</v>
      </c>
      <c r="O174" s="7"/>
      <c r="P174" s="9">
        <f>IF(الصنف[[#This Row],[وحده المكونات]]="جرام",1,0)</f>
        <v>1</v>
      </c>
    </row>
    <row r="175" spans="2:16" ht="20.100000000000001" customHeight="1" x14ac:dyDescent="0.2">
      <c r="B175" s="4">
        <v>173</v>
      </c>
      <c r="C175" s="4">
        <v>1314002</v>
      </c>
      <c r="D175" s="2" t="s">
        <v>907</v>
      </c>
      <c r="E175" s="2" t="s">
        <v>307</v>
      </c>
      <c r="G175" s="1" t="str">
        <f>LEFT(الصنف[[#This Row],[تصنيف فرعي (2)]],4)</f>
        <v>1314</v>
      </c>
      <c r="H175" s="5" t="s">
        <v>1002</v>
      </c>
      <c r="I175" s="5" t="str">
        <f>LEFT(الصنف[[#This Row],[تصنيف فرعي (1)]],2)</f>
        <v>13</v>
      </c>
      <c r="J175" s="1" t="s">
        <v>664</v>
      </c>
      <c r="K175" s="1">
        <f>VLOOKUP(الصنف[[#This Row],[وحده القياس]],$S$4:$T$67,2,TRUE)</f>
        <v>60</v>
      </c>
      <c r="L175" s="1" t="s">
        <v>686</v>
      </c>
      <c r="M175" s="1">
        <v>1000</v>
      </c>
      <c r="N175" s="6" t="s">
        <v>678</v>
      </c>
      <c r="O175" s="7"/>
      <c r="P175" s="9">
        <f>IF(الصنف[[#This Row],[وحده المكونات]]="جرام",1,0)</f>
        <v>1</v>
      </c>
    </row>
    <row r="176" spans="2:16" ht="20.100000000000001" customHeight="1" x14ac:dyDescent="0.2">
      <c r="B176" s="4">
        <v>174</v>
      </c>
      <c r="C176" s="4">
        <v>1314003</v>
      </c>
      <c r="D176" s="2" t="s">
        <v>929</v>
      </c>
      <c r="E176" s="2" t="s">
        <v>311</v>
      </c>
      <c r="G176" s="1" t="str">
        <f>LEFT(الصنف[[#This Row],[تصنيف فرعي (2)]],4)</f>
        <v>1314</v>
      </c>
      <c r="H176" s="5" t="s">
        <v>1002</v>
      </c>
      <c r="I176" s="5" t="str">
        <f>LEFT(الصنف[[#This Row],[تصنيف فرعي (1)]],2)</f>
        <v>13</v>
      </c>
      <c r="J176" s="1" t="s">
        <v>664</v>
      </c>
      <c r="K176" s="1">
        <f>VLOOKUP(الصنف[[#This Row],[وحده القياس]],$S$4:$T$67,2,TRUE)</f>
        <v>34</v>
      </c>
      <c r="L176" s="1" t="s">
        <v>945</v>
      </c>
      <c r="M176" s="1">
        <v>1000</v>
      </c>
      <c r="N176" s="6" t="s">
        <v>678</v>
      </c>
      <c r="O176" s="7"/>
      <c r="P176" s="9">
        <f>IF(الصنف[[#This Row],[وحده المكونات]]="جرام",1,0)</f>
        <v>1</v>
      </c>
    </row>
    <row r="177" spans="2:16" ht="20.100000000000001" customHeight="1" x14ac:dyDescent="0.2">
      <c r="B177" s="4">
        <v>175</v>
      </c>
      <c r="C177" s="4">
        <v>1315001</v>
      </c>
      <c r="D177" s="2" t="s">
        <v>64</v>
      </c>
      <c r="E177" s="2" t="s">
        <v>64</v>
      </c>
      <c r="G177" s="1" t="str">
        <f>LEFT(الصنف[[#This Row],[تصنيف فرعي (2)]],4)</f>
        <v>1315</v>
      </c>
      <c r="H177" s="5" t="s">
        <v>1003</v>
      </c>
      <c r="I177" s="5" t="str">
        <f>LEFT(الصنف[[#This Row],[تصنيف فرعي (1)]],2)</f>
        <v>13</v>
      </c>
      <c r="J177" s="1" t="s">
        <v>664</v>
      </c>
      <c r="K177" s="1">
        <f>VLOOKUP(الصنف[[#This Row],[وحده القياس]],$S$4:$T$67,2,TRUE)</f>
        <v>4</v>
      </c>
      <c r="L177" s="1" t="s">
        <v>946</v>
      </c>
      <c r="M177" s="1">
        <v>1000</v>
      </c>
      <c r="N177" s="6" t="s">
        <v>678</v>
      </c>
      <c r="O177" s="7"/>
      <c r="P177" s="9">
        <f>IF(الصنف[[#This Row],[وحده المكونات]]="جرام",1,0)</f>
        <v>1</v>
      </c>
    </row>
    <row r="178" spans="2:16" ht="20.100000000000001" customHeight="1" x14ac:dyDescent="0.2">
      <c r="B178" s="4">
        <v>176</v>
      </c>
      <c r="C178" s="4">
        <v>1316001</v>
      </c>
      <c r="D178" s="2" t="s">
        <v>28</v>
      </c>
      <c r="E178" s="2" t="s">
        <v>28</v>
      </c>
      <c r="G178" s="1" t="str">
        <f>LEFT(الصنف[[#This Row],[تصنيف فرعي (2)]],4)</f>
        <v>1316</v>
      </c>
      <c r="H178" s="5" t="s">
        <v>1004</v>
      </c>
      <c r="I178" s="5" t="str">
        <f>LEFT(الصنف[[#This Row],[تصنيف فرعي (1)]],2)</f>
        <v>13</v>
      </c>
      <c r="J178" s="1" t="s">
        <v>664</v>
      </c>
      <c r="K178" s="1">
        <f>VLOOKUP(الصنف[[#This Row],[وحده القياس]],$S$4:$T$67,2,TRUE)</f>
        <v>60</v>
      </c>
      <c r="L178" s="1" t="s">
        <v>686</v>
      </c>
      <c r="M178" s="1">
        <v>1000</v>
      </c>
      <c r="N178" s="6" t="s">
        <v>678</v>
      </c>
      <c r="O178" s="7"/>
      <c r="P178" s="9">
        <f>IF(الصنف[[#This Row],[وحده المكونات]]="جرام",1,0)</f>
        <v>1</v>
      </c>
    </row>
    <row r="179" spans="2:16" ht="20.100000000000001" customHeight="1" x14ac:dyDescent="0.2">
      <c r="B179" s="4">
        <v>177</v>
      </c>
      <c r="C179" s="4">
        <v>1316002</v>
      </c>
      <c r="D179" s="2" t="s">
        <v>298</v>
      </c>
      <c r="E179" s="2" t="s">
        <v>893</v>
      </c>
      <c r="G179" s="1" t="str">
        <f>LEFT(الصنف[[#This Row],[تصنيف فرعي (2)]],4)</f>
        <v>1316</v>
      </c>
      <c r="H179" s="5" t="s">
        <v>1004</v>
      </c>
      <c r="I179" s="5" t="str">
        <f>LEFT(الصنف[[#This Row],[تصنيف فرعي (1)]],2)</f>
        <v>13</v>
      </c>
      <c r="J179" s="1" t="s">
        <v>664</v>
      </c>
      <c r="K179" s="1">
        <f>VLOOKUP(الصنف[[#This Row],[وحده القياس]],$S$4:$T$67,2,TRUE)</f>
        <v>60</v>
      </c>
      <c r="L179" s="1" t="s">
        <v>686</v>
      </c>
      <c r="M179" s="1">
        <v>1000</v>
      </c>
      <c r="N179" s="6" t="s">
        <v>678</v>
      </c>
      <c r="O179" s="7"/>
      <c r="P179" s="9">
        <f>IF(الصنف[[#This Row],[وحده المكونات]]="جرام",1,0)</f>
        <v>1</v>
      </c>
    </row>
    <row r="180" spans="2:16" ht="20.100000000000001" customHeight="1" x14ac:dyDescent="0.2">
      <c r="B180" s="4">
        <v>178</v>
      </c>
      <c r="C180" s="4">
        <v>1316003</v>
      </c>
      <c r="D180" s="2" t="s">
        <v>29</v>
      </c>
      <c r="E180" s="2" t="s">
        <v>29</v>
      </c>
      <c r="G180" s="1" t="str">
        <f>LEFT(الصنف[[#This Row],[تصنيف فرعي (2)]],4)</f>
        <v>1316</v>
      </c>
      <c r="H180" s="5" t="s">
        <v>1004</v>
      </c>
      <c r="I180" s="5" t="str">
        <f>LEFT(الصنف[[#This Row],[تصنيف فرعي (1)]],2)</f>
        <v>13</v>
      </c>
      <c r="J180" s="1" t="s">
        <v>664</v>
      </c>
      <c r="K180" s="1">
        <f>VLOOKUP(الصنف[[#This Row],[وحده القياس]],$S$4:$T$67,2,TRUE)</f>
        <v>60</v>
      </c>
      <c r="L180" s="1" t="s">
        <v>686</v>
      </c>
      <c r="M180" s="1">
        <v>1000</v>
      </c>
      <c r="N180" s="6" t="s">
        <v>678</v>
      </c>
      <c r="O180" s="7"/>
      <c r="P180" s="9">
        <f>IF(الصنف[[#This Row],[وحده المكونات]]="جرام",1,0)</f>
        <v>1</v>
      </c>
    </row>
    <row r="181" spans="2:16" ht="20.100000000000001" customHeight="1" x14ac:dyDescent="0.2">
      <c r="B181" s="4">
        <v>179</v>
      </c>
      <c r="C181" s="4">
        <v>1316004</v>
      </c>
      <c r="D181" s="2" t="s">
        <v>293</v>
      </c>
      <c r="E181" s="2" t="s">
        <v>293</v>
      </c>
      <c r="G181" s="1" t="str">
        <f>LEFT(الصنف[[#This Row],[تصنيف فرعي (2)]],4)</f>
        <v>1316</v>
      </c>
      <c r="H181" s="5" t="s">
        <v>1004</v>
      </c>
      <c r="I181" s="5" t="str">
        <f>LEFT(الصنف[[#This Row],[تصنيف فرعي (1)]],2)</f>
        <v>13</v>
      </c>
      <c r="J181" s="1" t="s">
        <v>664</v>
      </c>
      <c r="K181" s="1">
        <f>VLOOKUP(الصنف[[#This Row],[وحده القياس]],$S$4:$T$67,2,TRUE)</f>
        <v>60</v>
      </c>
      <c r="L181" s="1" t="s">
        <v>686</v>
      </c>
      <c r="M181" s="1">
        <v>1000</v>
      </c>
      <c r="N181" s="6" t="s">
        <v>678</v>
      </c>
      <c r="O181" s="7"/>
      <c r="P181" s="9">
        <f>IF(الصنف[[#This Row],[وحده المكونات]]="جرام",1,0)</f>
        <v>1</v>
      </c>
    </row>
    <row r="182" spans="2:16" ht="20.100000000000001" customHeight="1" x14ac:dyDescent="0.2">
      <c r="B182" s="4">
        <v>180</v>
      </c>
      <c r="C182" s="4">
        <v>1316005</v>
      </c>
      <c r="D182" s="2" t="s">
        <v>302</v>
      </c>
      <c r="E182" s="2" t="s">
        <v>302</v>
      </c>
      <c r="G182" s="1" t="str">
        <f>LEFT(الصنف[[#This Row],[تصنيف فرعي (2)]],4)</f>
        <v>1316</v>
      </c>
      <c r="H182" s="5" t="s">
        <v>1004</v>
      </c>
      <c r="I182" s="5" t="str">
        <f>LEFT(الصنف[[#This Row],[تصنيف فرعي (1)]],2)</f>
        <v>13</v>
      </c>
      <c r="J182" s="1" t="s">
        <v>664</v>
      </c>
      <c r="K182" s="1">
        <f>VLOOKUP(الصنف[[#This Row],[وحده القياس]],$S$4:$T$67,2,TRUE)</f>
        <v>60</v>
      </c>
      <c r="L182" s="1" t="s">
        <v>686</v>
      </c>
      <c r="M182" s="1">
        <v>1000</v>
      </c>
      <c r="N182" s="6" t="s">
        <v>678</v>
      </c>
      <c r="O182" s="7"/>
      <c r="P182" s="9">
        <f>IF(الصنف[[#This Row],[وحده المكونات]]="جرام",1,0)</f>
        <v>1</v>
      </c>
    </row>
    <row r="183" spans="2:16" ht="20.100000000000001" customHeight="1" x14ac:dyDescent="0.2">
      <c r="B183" s="4">
        <v>181</v>
      </c>
      <c r="C183" s="4">
        <v>1316006</v>
      </c>
      <c r="D183" s="2" t="s">
        <v>301</v>
      </c>
      <c r="E183" s="2" t="s">
        <v>301</v>
      </c>
      <c r="G183" s="1" t="str">
        <f>LEFT(الصنف[[#This Row],[تصنيف فرعي (2)]],4)</f>
        <v>1316</v>
      </c>
      <c r="H183" s="5" t="s">
        <v>1004</v>
      </c>
      <c r="I183" s="5" t="str">
        <f>LEFT(الصنف[[#This Row],[تصنيف فرعي (1)]],2)</f>
        <v>13</v>
      </c>
      <c r="J183" s="1" t="s">
        <v>664</v>
      </c>
      <c r="K183" s="1">
        <f>VLOOKUP(الصنف[[#This Row],[وحده القياس]],$S$4:$T$67,2,TRUE)</f>
        <v>60</v>
      </c>
      <c r="L183" s="1" t="s">
        <v>686</v>
      </c>
      <c r="M183" s="1">
        <v>1000</v>
      </c>
      <c r="N183" s="6" t="s">
        <v>678</v>
      </c>
      <c r="O183" s="7"/>
      <c r="P183" s="9">
        <f>IF(الصنف[[#This Row],[وحده المكونات]]="جرام",1,0)</f>
        <v>1</v>
      </c>
    </row>
    <row r="184" spans="2:16" ht="20.100000000000001" customHeight="1" x14ac:dyDescent="0.2">
      <c r="B184" s="4">
        <v>182</v>
      </c>
      <c r="C184" s="4">
        <v>1401001</v>
      </c>
      <c r="D184" s="2" t="s">
        <v>937</v>
      </c>
      <c r="E184" s="2" t="s">
        <v>42</v>
      </c>
      <c r="G184" s="1" t="str">
        <f>LEFT(الصنف[[#This Row],[تصنيف فرعي (2)]],4)</f>
        <v>1401</v>
      </c>
      <c r="H184" s="5" t="s">
        <v>1005</v>
      </c>
      <c r="I184" s="5" t="str">
        <f>LEFT(الصنف[[#This Row],[تصنيف فرعي (1)]],2)</f>
        <v>14</v>
      </c>
      <c r="J184" s="1" t="s">
        <v>847</v>
      </c>
      <c r="K184" s="1">
        <f>VLOOKUP(الصنف[[#This Row],[وحده القياس]],$S$4:$T$67,2,TRUE)</f>
        <v>56</v>
      </c>
      <c r="L184" s="1" t="s">
        <v>762</v>
      </c>
      <c r="M184" s="1">
        <v>400</v>
      </c>
      <c r="N184" s="6" t="s">
        <v>678</v>
      </c>
      <c r="O184" s="7"/>
      <c r="P184" s="9">
        <f>IF(الصنف[[#This Row],[وحده المكونات]]="جرام",1,0)</f>
        <v>1</v>
      </c>
    </row>
    <row r="185" spans="2:16" ht="20.100000000000001" customHeight="1" x14ac:dyDescent="0.2">
      <c r="B185" s="4">
        <v>183</v>
      </c>
      <c r="C185" s="4">
        <v>1401002</v>
      </c>
      <c r="D185" s="2" t="s">
        <v>41</v>
      </c>
      <c r="E185" s="2" t="s">
        <v>41</v>
      </c>
      <c r="G185" s="1" t="str">
        <f>LEFT(الصنف[[#This Row],[تصنيف فرعي (2)]],4)</f>
        <v>1401</v>
      </c>
      <c r="H185" s="5" t="s">
        <v>1005</v>
      </c>
      <c r="I185" s="5" t="str">
        <f>LEFT(الصنف[[#This Row],[تصنيف فرعي (1)]],2)</f>
        <v>14</v>
      </c>
      <c r="J185" s="1" t="s">
        <v>847</v>
      </c>
      <c r="K185" s="1">
        <f>VLOOKUP(الصنف[[#This Row],[وحده القياس]],$S$4:$T$67,2,TRUE)</f>
        <v>56</v>
      </c>
      <c r="L185" s="1" t="s">
        <v>762</v>
      </c>
      <c r="M185" s="1">
        <v>400</v>
      </c>
      <c r="N185" s="6" t="s">
        <v>678</v>
      </c>
      <c r="O185" s="7"/>
      <c r="P185" s="9">
        <f>IF(الصنف[[#This Row],[وحده المكونات]]="جرام",1,0)</f>
        <v>1</v>
      </c>
    </row>
    <row r="186" spans="2:16" ht="20.100000000000001" customHeight="1" x14ac:dyDescent="0.2">
      <c r="B186" s="4">
        <v>184</v>
      </c>
      <c r="C186" s="4">
        <v>1401003</v>
      </c>
      <c r="D186" s="2" t="s">
        <v>333</v>
      </c>
      <c r="E186" s="2" t="s">
        <v>333</v>
      </c>
      <c r="G186" s="1" t="str">
        <f>LEFT(الصنف[[#This Row],[تصنيف فرعي (2)]],4)</f>
        <v>1401</v>
      </c>
      <c r="H186" s="5" t="s">
        <v>1005</v>
      </c>
      <c r="I186" s="5" t="str">
        <f>LEFT(الصنف[[#This Row],[تصنيف فرعي (1)]],2)</f>
        <v>14</v>
      </c>
      <c r="J186" s="1" t="s">
        <v>847</v>
      </c>
      <c r="K186" s="1">
        <f>VLOOKUP(الصنف[[#This Row],[وحده القياس]],$S$4:$T$67,2,TRUE)</f>
        <v>53</v>
      </c>
      <c r="L186" s="1" t="s">
        <v>894</v>
      </c>
      <c r="M186" s="1">
        <v>2500</v>
      </c>
      <c r="N186" s="6" t="s">
        <v>678</v>
      </c>
      <c r="O186" s="7">
        <v>385.7</v>
      </c>
      <c r="P186" s="9">
        <f>IF(الصنف[[#This Row],[وحده المكونات]]="جرام",1,0)</f>
        <v>1</v>
      </c>
    </row>
    <row r="187" spans="2:16" ht="20.100000000000001" customHeight="1" x14ac:dyDescent="0.2">
      <c r="B187" s="4">
        <v>185</v>
      </c>
      <c r="C187" s="4">
        <v>1401004</v>
      </c>
      <c r="D187" s="2" t="s">
        <v>380</v>
      </c>
      <c r="E187" s="2" t="s">
        <v>380</v>
      </c>
      <c r="G187" s="1" t="str">
        <f>LEFT(الصنف[[#This Row],[تصنيف فرعي (2)]],4)</f>
        <v>1401</v>
      </c>
      <c r="H187" s="5" t="s">
        <v>1005</v>
      </c>
      <c r="I187" s="5" t="str">
        <f>LEFT(الصنف[[#This Row],[تصنيف فرعي (1)]],2)</f>
        <v>14</v>
      </c>
      <c r="J187" s="1" t="s">
        <v>847</v>
      </c>
      <c r="K187" s="1">
        <f>VLOOKUP(الصنف[[#This Row],[وحده القياس]],$S$4:$T$67,2,TRUE)</f>
        <v>53</v>
      </c>
      <c r="L187" s="1" t="s">
        <v>894</v>
      </c>
      <c r="M187" s="1">
        <v>2500</v>
      </c>
      <c r="N187" s="6" t="s">
        <v>678</v>
      </c>
      <c r="O187" s="7"/>
      <c r="P187" s="9">
        <f>IF(الصنف[[#This Row],[وحده المكونات]]="جرام",1,0)</f>
        <v>1</v>
      </c>
    </row>
    <row r="188" spans="2:16" ht="20.100000000000001" customHeight="1" x14ac:dyDescent="0.2">
      <c r="B188" s="4">
        <v>186</v>
      </c>
      <c r="C188" s="4">
        <v>1401005</v>
      </c>
      <c r="D188" s="2" t="s">
        <v>923</v>
      </c>
      <c r="E188" s="2" t="s">
        <v>923</v>
      </c>
      <c r="G188" s="1" t="str">
        <f>LEFT(الصنف[[#This Row],[تصنيف فرعي (2)]],4)</f>
        <v>1401</v>
      </c>
      <c r="H188" s="5" t="s">
        <v>1005</v>
      </c>
      <c r="I188" s="5" t="str">
        <f>LEFT(الصنف[[#This Row],[تصنيف فرعي (1)]],2)</f>
        <v>14</v>
      </c>
      <c r="J188" s="1" t="s">
        <v>847</v>
      </c>
      <c r="K188" s="1">
        <f>VLOOKUP(الصنف[[#This Row],[وحده القياس]],$S$4:$T$67,2,TRUE)</f>
        <v>60</v>
      </c>
      <c r="L188" s="1" t="s">
        <v>686</v>
      </c>
      <c r="M188" s="1">
        <v>1000</v>
      </c>
      <c r="N188" s="6" t="s">
        <v>678</v>
      </c>
      <c r="O188" s="7"/>
      <c r="P188" s="9">
        <f>IF(الصنف[[#This Row],[وحده المكونات]]="جرام",1,0)</f>
        <v>1</v>
      </c>
    </row>
    <row r="189" spans="2:16" ht="20.100000000000001" customHeight="1" x14ac:dyDescent="0.2">
      <c r="B189" s="4">
        <v>187</v>
      </c>
      <c r="C189" s="4">
        <v>1401006</v>
      </c>
      <c r="D189" s="2" t="s">
        <v>938</v>
      </c>
      <c r="E189" s="2" t="s">
        <v>605</v>
      </c>
      <c r="G189" s="1" t="str">
        <f>LEFT(الصنف[[#This Row],[تصنيف فرعي (2)]],4)</f>
        <v>1401</v>
      </c>
      <c r="H189" s="5" t="s">
        <v>1005</v>
      </c>
      <c r="I189" s="5" t="str">
        <f>LEFT(الصنف[[#This Row],[تصنيف فرعي (1)]],2)</f>
        <v>14</v>
      </c>
      <c r="J189" s="1" t="s">
        <v>847</v>
      </c>
      <c r="K189" s="1">
        <f>VLOOKUP(الصنف[[#This Row],[وحده القياس]],$S$4:$T$67,2,TRUE)</f>
        <v>56</v>
      </c>
      <c r="L189" s="1" t="s">
        <v>762</v>
      </c>
      <c r="M189" s="1">
        <v>400</v>
      </c>
      <c r="N189" s="6" t="s">
        <v>678</v>
      </c>
      <c r="O189" s="7"/>
      <c r="P189" s="9">
        <f>IF(الصنف[[#This Row],[وحده المكونات]]="جرام",1,0)</f>
        <v>1</v>
      </c>
    </row>
    <row r="190" spans="2:16" ht="20.100000000000001" customHeight="1" x14ac:dyDescent="0.2">
      <c r="B190" s="4">
        <v>188</v>
      </c>
      <c r="C190" s="4">
        <v>1402001</v>
      </c>
      <c r="D190" s="2" t="s">
        <v>296</v>
      </c>
      <c r="E190" s="2" t="s">
        <v>296</v>
      </c>
      <c r="G190" s="1" t="str">
        <f>LEFT(الصنف[[#This Row],[تصنيف فرعي (2)]],4)</f>
        <v>1402</v>
      </c>
      <c r="H190" s="5" t="s">
        <v>1006</v>
      </c>
      <c r="I190" s="5" t="str">
        <f>LEFT(الصنف[[#This Row],[تصنيف فرعي (1)]],2)</f>
        <v>14</v>
      </c>
      <c r="J190" s="1" t="s">
        <v>847</v>
      </c>
      <c r="K190" s="1">
        <f>VLOOKUP(الصنف[[#This Row],[وحده القياس]],$S$4:$T$67,2,TRUE)</f>
        <v>60</v>
      </c>
      <c r="L190" s="1" t="s">
        <v>686</v>
      </c>
      <c r="M190" s="1">
        <v>1000</v>
      </c>
      <c r="N190" s="6" t="s">
        <v>678</v>
      </c>
      <c r="O190" s="7"/>
      <c r="P190" s="9">
        <f>IF(الصنف[[#This Row],[وحده المكونات]]="جرام",1,0)</f>
        <v>1</v>
      </c>
    </row>
    <row r="191" spans="2:16" ht="20.100000000000001" customHeight="1" x14ac:dyDescent="0.2">
      <c r="B191" s="4">
        <v>189</v>
      </c>
      <c r="C191" s="4">
        <v>1403001</v>
      </c>
      <c r="D191" s="2" t="s">
        <v>257</v>
      </c>
      <c r="E191" s="2" t="s">
        <v>257</v>
      </c>
      <c r="G191" s="1" t="str">
        <f>LEFT(الصنف[[#This Row],[تصنيف فرعي (2)]],4)</f>
        <v>1403</v>
      </c>
      <c r="H191" s="5" t="s">
        <v>1007</v>
      </c>
      <c r="I191" s="5" t="str">
        <f>LEFT(الصنف[[#This Row],[تصنيف فرعي (1)]],2)</f>
        <v>14</v>
      </c>
      <c r="J191" s="1" t="s">
        <v>847</v>
      </c>
      <c r="K191" s="1">
        <f>VLOOKUP(الصنف[[#This Row],[وحده القياس]],$S$4:$T$67,2,TRUE)</f>
        <v>60</v>
      </c>
      <c r="L191" s="1" t="s">
        <v>686</v>
      </c>
      <c r="M191" s="1">
        <v>1000</v>
      </c>
      <c r="N191" s="6" t="s">
        <v>678</v>
      </c>
      <c r="O191" s="7"/>
      <c r="P191" s="9">
        <f>IF(الصنف[[#This Row],[وحده المكونات]]="جرام",1,0)</f>
        <v>1</v>
      </c>
    </row>
    <row r="192" spans="2:16" ht="20.100000000000001" customHeight="1" x14ac:dyDescent="0.2">
      <c r="B192" s="4">
        <v>190</v>
      </c>
      <c r="C192" s="4">
        <v>1403002</v>
      </c>
      <c r="D192" s="2" t="s">
        <v>262</v>
      </c>
      <c r="E192" s="2" t="s">
        <v>262</v>
      </c>
      <c r="G192" s="1" t="str">
        <f>LEFT(الصنف[[#This Row],[تصنيف فرعي (2)]],4)</f>
        <v>1403</v>
      </c>
      <c r="H192" s="5" t="s">
        <v>1007</v>
      </c>
      <c r="I192" s="5" t="str">
        <f>LEFT(الصنف[[#This Row],[تصنيف فرعي (1)]],2)</f>
        <v>14</v>
      </c>
      <c r="J192" s="1" t="s">
        <v>847</v>
      </c>
      <c r="K192" s="1">
        <f>VLOOKUP(الصنف[[#This Row],[وحده القياس]],$S$4:$T$67,2,TRUE)</f>
        <v>60</v>
      </c>
      <c r="L192" s="1" t="s">
        <v>686</v>
      </c>
      <c r="M192" s="1">
        <v>1000</v>
      </c>
      <c r="N192" s="6" t="s">
        <v>678</v>
      </c>
      <c r="O192" s="7"/>
      <c r="P192" s="9">
        <f>IF(الصنف[[#This Row],[وحده المكونات]]="جرام",1,0)</f>
        <v>1</v>
      </c>
    </row>
    <row r="193" spans="2:16" ht="20.100000000000001" customHeight="1" x14ac:dyDescent="0.2">
      <c r="B193" s="4">
        <v>191</v>
      </c>
      <c r="C193" s="4">
        <v>1403003</v>
      </c>
      <c r="D193" s="2" t="s">
        <v>263</v>
      </c>
      <c r="E193" s="2" t="s">
        <v>263</v>
      </c>
      <c r="G193" s="1" t="str">
        <f>LEFT(الصنف[[#This Row],[تصنيف فرعي (2)]],4)</f>
        <v>1403</v>
      </c>
      <c r="H193" s="5" t="s">
        <v>1007</v>
      </c>
      <c r="I193" s="5" t="str">
        <f>LEFT(الصنف[[#This Row],[تصنيف فرعي (1)]],2)</f>
        <v>14</v>
      </c>
      <c r="J193" s="1" t="s">
        <v>847</v>
      </c>
      <c r="K193" s="1">
        <f>VLOOKUP(الصنف[[#This Row],[وحده القياس]],$S$4:$T$67,2,TRUE)</f>
        <v>60</v>
      </c>
      <c r="L193" s="1" t="s">
        <v>686</v>
      </c>
      <c r="M193" s="1">
        <v>1000</v>
      </c>
      <c r="N193" s="6" t="s">
        <v>678</v>
      </c>
      <c r="O193" s="7"/>
      <c r="P193" s="9">
        <f>IF(الصنف[[#This Row],[وحده المكونات]]="جرام",1,0)</f>
        <v>1</v>
      </c>
    </row>
    <row r="194" spans="2:16" ht="20.100000000000001" customHeight="1" x14ac:dyDescent="0.2">
      <c r="B194" s="4">
        <v>192</v>
      </c>
      <c r="C194" s="4">
        <v>1501001</v>
      </c>
      <c r="D194" s="2" t="s">
        <v>329</v>
      </c>
      <c r="E194" s="2" t="s">
        <v>329</v>
      </c>
      <c r="G194" s="1" t="str">
        <f>LEFT(الصنف[[#This Row],[تصنيف فرعي (2)]],4)</f>
        <v>1501</v>
      </c>
      <c r="H194" s="5" t="s">
        <v>1008</v>
      </c>
      <c r="I194" s="5" t="str">
        <f>LEFT(الصنف[[#This Row],[تصنيف فرعي (1)]],2)</f>
        <v>15</v>
      </c>
      <c r="J194" s="1" t="s">
        <v>669</v>
      </c>
      <c r="K194" s="1">
        <f>VLOOKUP(الصنف[[#This Row],[وحده القياس]],$S$4:$T$67,2,TRUE)</f>
        <v>15</v>
      </c>
      <c r="L194" s="1" t="s">
        <v>776</v>
      </c>
      <c r="M194" s="1">
        <v>1000</v>
      </c>
      <c r="N194" s="6" t="s">
        <v>743</v>
      </c>
      <c r="O194" s="7"/>
      <c r="P194" s="9">
        <f>IF(الصنف[[#This Row],[وحده المكونات]]="جرام",1,0)</f>
        <v>0</v>
      </c>
    </row>
    <row r="195" spans="2:16" ht="20.100000000000001" customHeight="1" x14ac:dyDescent="0.2">
      <c r="B195" s="4">
        <v>193</v>
      </c>
      <c r="C195" s="4">
        <v>1501002</v>
      </c>
      <c r="D195" s="2" t="s">
        <v>0</v>
      </c>
      <c r="E195" s="2" t="s">
        <v>0</v>
      </c>
      <c r="G195" s="1" t="str">
        <f>LEFT(الصنف[[#This Row],[تصنيف فرعي (2)]],4)</f>
        <v>1501</v>
      </c>
      <c r="H195" s="5" t="s">
        <v>1008</v>
      </c>
      <c r="I195" s="5" t="str">
        <f>LEFT(الصنف[[#This Row],[تصنيف فرعي (1)]],2)</f>
        <v>15</v>
      </c>
      <c r="J195" s="1" t="s">
        <v>669</v>
      </c>
      <c r="K195" s="1">
        <f>VLOOKUP(الصنف[[#This Row],[وحده القياس]],$S$4:$T$67,2,TRUE)</f>
        <v>15</v>
      </c>
      <c r="L195" s="1" t="s">
        <v>776</v>
      </c>
      <c r="M195" s="1">
        <v>1000</v>
      </c>
      <c r="N195" s="6" t="s">
        <v>743</v>
      </c>
      <c r="O195" s="7"/>
      <c r="P195" s="9">
        <f>IF(الصنف[[#This Row],[وحده المكونات]]="جرام",1,0)</f>
        <v>0</v>
      </c>
    </row>
    <row r="196" spans="2:16" ht="20.100000000000001" customHeight="1" x14ac:dyDescent="0.2">
      <c r="B196" s="4">
        <v>194</v>
      </c>
      <c r="C196" s="4">
        <v>1501003</v>
      </c>
      <c r="D196" s="2" t="s">
        <v>1</v>
      </c>
      <c r="E196" s="2" t="s">
        <v>1</v>
      </c>
      <c r="G196" s="1" t="str">
        <f>LEFT(الصنف[[#This Row],[تصنيف فرعي (2)]],4)</f>
        <v>1501</v>
      </c>
      <c r="H196" s="5" t="s">
        <v>1008</v>
      </c>
      <c r="I196" s="5" t="str">
        <f>LEFT(الصنف[[#This Row],[تصنيف فرعي (1)]],2)</f>
        <v>15</v>
      </c>
      <c r="J196" s="1" t="s">
        <v>669</v>
      </c>
      <c r="K196" s="1">
        <f>VLOOKUP(الصنف[[#This Row],[وحده القياس]],$S$4:$T$67,2,TRUE)</f>
        <v>15</v>
      </c>
      <c r="L196" s="1" t="s">
        <v>776</v>
      </c>
      <c r="M196" s="1">
        <v>1000</v>
      </c>
      <c r="N196" s="6" t="s">
        <v>743</v>
      </c>
      <c r="O196" s="7"/>
      <c r="P196" s="9">
        <f>IF(الصنف[[#This Row],[وحده المكونات]]="جرام",1,0)</f>
        <v>0</v>
      </c>
    </row>
    <row r="197" spans="2:16" ht="20.100000000000001" customHeight="1" x14ac:dyDescent="0.2">
      <c r="B197" s="4">
        <v>195</v>
      </c>
      <c r="C197" s="4">
        <v>1502001</v>
      </c>
      <c r="D197" s="2" t="s">
        <v>254</v>
      </c>
      <c r="E197" s="2" t="s">
        <v>254</v>
      </c>
      <c r="G197" s="1" t="str">
        <f>LEFT(الصنف[[#This Row],[تصنيف فرعي (2)]],4)</f>
        <v>1502</v>
      </c>
      <c r="H197" s="5" t="s">
        <v>1009</v>
      </c>
      <c r="I197" s="5" t="str">
        <f>LEFT(الصنف[[#This Row],[تصنيف فرعي (1)]],2)</f>
        <v>15</v>
      </c>
      <c r="J197" s="1" t="s">
        <v>669</v>
      </c>
      <c r="K197" s="1">
        <f>VLOOKUP(الصنف[[#This Row],[وحده القياس]],$S$4:$T$67,2,TRUE)</f>
        <v>60</v>
      </c>
      <c r="L197" s="1" t="s">
        <v>686</v>
      </c>
      <c r="M197" s="1">
        <v>1000</v>
      </c>
      <c r="N197" s="6" t="s">
        <v>678</v>
      </c>
      <c r="O197" s="7"/>
      <c r="P197" s="9">
        <f>IF(الصنف[[#This Row],[وحده المكونات]]="جرام",1,0)</f>
        <v>1</v>
      </c>
    </row>
    <row r="198" spans="2:16" ht="20.100000000000001" customHeight="1" x14ac:dyDescent="0.2">
      <c r="B198" s="4">
        <v>196</v>
      </c>
      <c r="C198" s="4">
        <v>1502002</v>
      </c>
      <c r="D198" s="2" t="s">
        <v>2</v>
      </c>
      <c r="E198" s="2" t="s">
        <v>2</v>
      </c>
      <c r="G198" s="1" t="str">
        <f>LEFT(الصنف[[#This Row],[تصنيف فرعي (2)]],4)</f>
        <v>1502</v>
      </c>
      <c r="H198" s="5" t="s">
        <v>1009</v>
      </c>
      <c r="I198" s="5" t="str">
        <f>LEFT(الصنف[[#This Row],[تصنيف فرعي (1)]],2)</f>
        <v>15</v>
      </c>
      <c r="J198" s="1" t="s">
        <v>669</v>
      </c>
      <c r="K198" s="1">
        <f>VLOOKUP(الصنف[[#This Row],[وحده القياس]],$S$4:$T$67,2,TRUE)</f>
        <v>28</v>
      </c>
      <c r="L198" s="1" t="s">
        <v>947</v>
      </c>
      <c r="M198" s="1">
        <v>11000</v>
      </c>
      <c r="N198" s="6" t="s">
        <v>678</v>
      </c>
      <c r="O198" s="7"/>
      <c r="P198" s="9">
        <f>IF(الصنف[[#This Row],[وحده المكونات]]="جرام",1,0)</f>
        <v>1</v>
      </c>
    </row>
    <row r="199" spans="2:16" ht="20.100000000000001" customHeight="1" x14ac:dyDescent="0.2">
      <c r="B199" s="4">
        <v>197</v>
      </c>
      <c r="C199" s="4">
        <v>1601001</v>
      </c>
      <c r="D199" s="2" t="s">
        <v>220</v>
      </c>
      <c r="E199" s="2" t="s">
        <v>220</v>
      </c>
      <c r="G199" s="1" t="str">
        <f>LEFT(الصنف[[#This Row],[تصنيف فرعي (2)]],4)</f>
        <v>1601</v>
      </c>
      <c r="H199" s="5" t="s">
        <v>1010</v>
      </c>
      <c r="I199" s="5" t="str">
        <f>LEFT(الصنف[[#This Row],[تصنيف فرعي (1)]],2)</f>
        <v>16</v>
      </c>
      <c r="J199" s="1" t="s">
        <v>666</v>
      </c>
      <c r="K199" s="1">
        <f>VLOOKUP(الصنف[[#This Row],[وحده القياس]],$S$4:$T$67,2,TRUE)</f>
        <v>60</v>
      </c>
      <c r="L199" s="1" t="s">
        <v>686</v>
      </c>
      <c r="M199" s="1">
        <v>1000</v>
      </c>
      <c r="N199" s="6" t="s">
        <v>678</v>
      </c>
      <c r="O199" s="7"/>
      <c r="P199" s="9">
        <f>IF(الصنف[[#This Row],[وحده المكونات]]="جرام",1,0)</f>
        <v>1</v>
      </c>
    </row>
    <row r="200" spans="2:16" ht="20.100000000000001" customHeight="1" x14ac:dyDescent="0.2">
      <c r="B200" s="4">
        <v>198</v>
      </c>
      <c r="C200" s="4">
        <v>1601002</v>
      </c>
      <c r="D200" s="2" t="s">
        <v>314</v>
      </c>
      <c r="E200" s="2" t="s">
        <v>314</v>
      </c>
      <c r="G200" s="1" t="str">
        <f>LEFT(الصنف[[#This Row],[تصنيف فرعي (2)]],4)</f>
        <v>1601</v>
      </c>
      <c r="H200" s="5" t="s">
        <v>1010</v>
      </c>
      <c r="I200" s="5" t="str">
        <f>LEFT(الصنف[[#This Row],[تصنيف فرعي (1)]],2)</f>
        <v>16</v>
      </c>
      <c r="J200" s="1" t="s">
        <v>666</v>
      </c>
      <c r="K200" s="1">
        <f>VLOOKUP(الصنف[[#This Row],[وحده القياس]],$S$4:$T$67,2,TRUE)</f>
        <v>60</v>
      </c>
      <c r="L200" s="1" t="s">
        <v>686</v>
      </c>
      <c r="M200" s="1">
        <v>1000</v>
      </c>
      <c r="N200" s="6" t="s">
        <v>678</v>
      </c>
      <c r="O200" s="7"/>
      <c r="P200" s="9">
        <f>IF(الصنف[[#This Row],[وحده المكونات]]="جرام",1,0)</f>
        <v>1</v>
      </c>
    </row>
    <row r="201" spans="2:16" ht="20.100000000000001" customHeight="1" x14ac:dyDescent="0.2">
      <c r="B201" s="4">
        <v>199</v>
      </c>
      <c r="C201" s="4">
        <v>1601003</v>
      </c>
      <c r="D201" s="2" t="s">
        <v>939</v>
      </c>
      <c r="E201" s="2" t="s">
        <v>620</v>
      </c>
      <c r="G201" s="1" t="str">
        <f>LEFT(الصنف[[#This Row],[تصنيف فرعي (2)]],4)</f>
        <v>1601</v>
      </c>
      <c r="H201" s="5" t="s">
        <v>1010</v>
      </c>
      <c r="I201" s="5" t="str">
        <f>LEFT(الصنف[[#This Row],[تصنيف فرعي (1)]],2)</f>
        <v>16</v>
      </c>
      <c r="J201" s="1" t="s">
        <v>666</v>
      </c>
      <c r="K201" s="1">
        <f>VLOOKUP(الصنف[[#This Row],[وحده القياس]],$S$4:$T$67,2,TRUE)</f>
        <v>60</v>
      </c>
      <c r="L201" s="1" t="s">
        <v>686</v>
      </c>
      <c r="M201" s="1">
        <v>1000</v>
      </c>
      <c r="N201" s="6" t="s">
        <v>678</v>
      </c>
      <c r="O201" s="7"/>
      <c r="P201" s="9">
        <f>IF(الصنف[[#This Row],[وحده المكونات]]="جرام",1,0)</f>
        <v>1</v>
      </c>
    </row>
    <row r="202" spans="2:16" ht="20.100000000000001" customHeight="1" x14ac:dyDescent="0.2">
      <c r="B202" s="4">
        <v>200</v>
      </c>
      <c r="C202" s="4">
        <v>1602001</v>
      </c>
      <c r="D202" s="2" t="s">
        <v>256</v>
      </c>
      <c r="E202" s="2" t="s">
        <v>256</v>
      </c>
      <c r="G202" s="1" t="str">
        <f>LEFT(الصنف[[#This Row],[تصنيف فرعي (2)]],4)</f>
        <v>1602</v>
      </c>
      <c r="H202" s="5" t="s">
        <v>1011</v>
      </c>
      <c r="I202" s="5" t="str">
        <f>LEFT(الصنف[[#This Row],[تصنيف فرعي (1)]],2)</f>
        <v>16</v>
      </c>
      <c r="J202" s="1" t="s">
        <v>666</v>
      </c>
      <c r="K202" s="1">
        <f>VLOOKUP(الصنف[[#This Row],[وحده القياس]],$S$4:$T$67,2,TRUE)</f>
        <v>60</v>
      </c>
      <c r="L202" s="1" t="s">
        <v>686</v>
      </c>
      <c r="M202" s="1">
        <v>1000</v>
      </c>
      <c r="N202" s="6" t="s">
        <v>678</v>
      </c>
      <c r="O202" s="7"/>
      <c r="P202" s="9">
        <f>IF(الصنف[[#This Row],[وحده المكونات]]="جرام",1,0)</f>
        <v>1</v>
      </c>
    </row>
    <row r="203" spans="2:16" ht="20.100000000000001" customHeight="1" x14ac:dyDescent="0.2">
      <c r="B203" s="4">
        <v>201</v>
      </c>
      <c r="C203" s="4">
        <v>1602002</v>
      </c>
      <c r="D203" s="2" t="s">
        <v>258</v>
      </c>
      <c r="E203" s="2" t="s">
        <v>258</v>
      </c>
      <c r="G203" s="1" t="str">
        <f>LEFT(الصنف[[#This Row],[تصنيف فرعي (2)]],4)</f>
        <v>1602</v>
      </c>
      <c r="H203" s="5" t="s">
        <v>1011</v>
      </c>
      <c r="I203" s="5" t="str">
        <f>LEFT(الصنف[[#This Row],[تصنيف فرعي (1)]],2)</f>
        <v>16</v>
      </c>
      <c r="J203" s="1" t="s">
        <v>666</v>
      </c>
      <c r="K203" s="1">
        <f>VLOOKUP(الصنف[[#This Row],[وحده القياس]],$S$4:$T$67,2,TRUE)</f>
        <v>60</v>
      </c>
      <c r="L203" s="1" t="s">
        <v>686</v>
      </c>
      <c r="M203" s="1">
        <v>1000</v>
      </c>
      <c r="N203" s="6" t="s">
        <v>678</v>
      </c>
      <c r="O203" s="7"/>
      <c r="P203" s="9">
        <f>IF(الصنف[[#This Row],[وحده المكونات]]="جرام",1,0)</f>
        <v>1</v>
      </c>
    </row>
    <row r="204" spans="2:16" ht="20.100000000000001" customHeight="1" x14ac:dyDescent="0.2">
      <c r="B204" s="4">
        <v>202</v>
      </c>
      <c r="C204" s="4">
        <v>1602003</v>
      </c>
      <c r="D204" s="2" t="s">
        <v>260</v>
      </c>
      <c r="E204" s="2" t="s">
        <v>260</v>
      </c>
      <c r="G204" s="1" t="str">
        <f>LEFT(الصنف[[#This Row],[تصنيف فرعي (2)]],4)</f>
        <v>1602</v>
      </c>
      <c r="H204" s="5" t="s">
        <v>1011</v>
      </c>
      <c r="I204" s="5" t="str">
        <f>LEFT(الصنف[[#This Row],[تصنيف فرعي (1)]],2)</f>
        <v>16</v>
      </c>
      <c r="J204" s="1" t="s">
        <v>666</v>
      </c>
      <c r="K204" s="1">
        <f>VLOOKUP(الصنف[[#This Row],[وحده القياس]],$S$4:$T$67,2,TRUE)</f>
        <v>60</v>
      </c>
      <c r="L204" s="1" t="s">
        <v>686</v>
      </c>
      <c r="M204" s="1">
        <v>1000</v>
      </c>
      <c r="N204" s="6" t="s">
        <v>678</v>
      </c>
      <c r="O204" s="7"/>
      <c r="P204" s="9">
        <f>IF(الصنف[[#This Row],[وحده المكونات]]="جرام",1,0)</f>
        <v>1</v>
      </c>
    </row>
    <row r="205" spans="2:16" ht="20.100000000000001" customHeight="1" x14ac:dyDescent="0.2">
      <c r="B205" s="4">
        <v>203</v>
      </c>
      <c r="C205" s="4">
        <v>1603001</v>
      </c>
      <c r="D205" s="2" t="s">
        <v>313</v>
      </c>
      <c r="E205" s="2" t="s">
        <v>313</v>
      </c>
      <c r="G205" s="1" t="str">
        <f>LEFT(الصنف[[#This Row],[تصنيف فرعي (2)]],4)</f>
        <v>1603</v>
      </c>
      <c r="H205" s="5" t="s">
        <v>1012</v>
      </c>
      <c r="I205" s="5" t="str">
        <f>LEFT(الصنف[[#This Row],[تصنيف فرعي (1)]],2)</f>
        <v>16</v>
      </c>
      <c r="J205" s="1" t="s">
        <v>666</v>
      </c>
      <c r="K205" s="1">
        <f>VLOOKUP(الصنف[[#This Row],[وحده القياس]],$S$4:$T$67,2,TRUE)</f>
        <v>60</v>
      </c>
      <c r="L205" s="1" t="s">
        <v>686</v>
      </c>
      <c r="M205" s="1">
        <v>1000</v>
      </c>
      <c r="N205" s="6" t="s">
        <v>678</v>
      </c>
      <c r="O205" s="7"/>
      <c r="P205" s="9">
        <f>IF(الصنف[[#This Row],[وحده المكونات]]="جرام",1,0)</f>
        <v>1</v>
      </c>
    </row>
    <row r="206" spans="2:16" ht="20.100000000000001" customHeight="1" x14ac:dyDescent="0.2">
      <c r="B206" s="4">
        <v>204</v>
      </c>
      <c r="C206" s="4">
        <v>1701001</v>
      </c>
      <c r="D206" s="2" t="s">
        <v>39</v>
      </c>
      <c r="E206" s="2" t="s">
        <v>39</v>
      </c>
      <c r="G206" s="1" t="str">
        <f>LEFT(الصنف[[#This Row],[تصنيف فرعي (2)]],4)</f>
        <v>1701</v>
      </c>
      <c r="H206" s="5" t="s">
        <v>1013</v>
      </c>
      <c r="I206" s="5" t="str">
        <f>LEFT(الصنف[[#This Row],[تصنيف فرعي (1)]],2)</f>
        <v>17</v>
      </c>
      <c r="J206" s="1" t="s">
        <v>905</v>
      </c>
      <c r="K206" s="1">
        <f>VLOOKUP(الصنف[[#This Row],[وحده القياس]],$S$4:$T$67,2,TRUE)</f>
        <v>50</v>
      </c>
      <c r="L206" s="1" t="s">
        <v>758</v>
      </c>
      <c r="M206" s="1">
        <v>1000</v>
      </c>
      <c r="N206" s="6" t="s">
        <v>743</v>
      </c>
      <c r="O206" s="7"/>
      <c r="P206" s="9">
        <f>IF(الصنف[[#This Row],[وحده المكونات]]="جرام",1,0)</f>
        <v>0</v>
      </c>
    </row>
    <row r="207" spans="2:16" ht="20.100000000000001" customHeight="1" x14ac:dyDescent="0.2">
      <c r="B207" s="4">
        <v>205</v>
      </c>
      <c r="C207" s="4">
        <v>1701002</v>
      </c>
      <c r="D207" s="2" t="s">
        <v>38</v>
      </c>
      <c r="E207" s="2" t="s">
        <v>38</v>
      </c>
      <c r="G207" s="1" t="str">
        <f>LEFT(الصنف[[#This Row],[تصنيف فرعي (2)]],4)</f>
        <v>1701</v>
      </c>
      <c r="H207" s="5" t="s">
        <v>1013</v>
      </c>
      <c r="I207" s="5" t="str">
        <f>LEFT(الصنف[[#This Row],[تصنيف فرعي (1)]],2)</f>
        <v>17</v>
      </c>
      <c r="J207" s="1" t="s">
        <v>905</v>
      </c>
      <c r="K207" s="1">
        <f>VLOOKUP(الصنف[[#This Row],[وحده القياس]],$S$4:$T$67,2,TRUE)</f>
        <v>60</v>
      </c>
      <c r="L207" s="1" t="s">
        <v>686</v>
      </c>
      <c r="M207" s="1">
        <v>1000</v>
      </c>
      <c r="N207" s="6" t="s">
        <v>678</v>
      </c>
      <c r="O207" s="7"/>
      <c r="P207" s="9">
        <f>IF(الصنف[[#This Row],[وحده المكونات]]="جرام",1,0)</f>
        <v>1</v>
      </c>
    </row>
    <row r="208" spans="2:16" ht="20.100000000000001" customHeight="1" x14ac:dyDescent="0.2">
      <c r="B208" s="4">
        <v>206</v>
      </c>
      <c r="C208" s="4">
        <v>1701003</v>
      </c>
      <c r="D208" s="2" t="s">
        <v>600</v>
      </c>
      <c r="E208" s="2" t="s">
        <v>600</v>
      </c>
      <c r="G208" s="1" t="str">
        <f>LEFT(الصنف[[#This Row],[تصنيف فرعي (2)]],4)</f>
        <v>1701</v>
      </c>
      <c r="H208" s="5" t="s">
        <v>1013</v>
      </c>
      <c r="I208" s="5" t="str">
        <f>LEFT(الصنف[[#This Row],[تصنيف فرعي (1)]],2)</f>
        <v>17</v>
      </c>
      <c r="J208" s="1" t="s">
        <v>905</v>
      </c>
      <c r="K208" s="1">
        <f>VLOOKUP(الصنف[[#This Row],[وحده القياس]],$S$4:$T$67,2,TRUE)</f>
        <v>35</v>
      </c>
      <c r="L208" s="1" t="s">
        <v>759</v>
      </c>
      <c r="M208" s="1">
        <v>1000</v>
      </c>
      <c r="N208" s="6" t="s">
        <v>743</v>
      </c>
      <c r="O208" s="7"/>
      <c r="P208" s="9">
        <f>IF(الصنف[[#This Row],[وحده المكونات]]="جرام",1,0)</f>
        <v>0</v>
      </c>
    </row>
    <row r="209" spans="2:16" ht="20.100000000000001" customHeight="1" x14ac:dyDescent="0.2">
      <c r="B209" s="4">
        <v>207</v>
      </c>
      <c r="C209" s="4">
        <v>1701004</v>
      </c>
      <c r="D209" s="2" t="s">
        <v>37</v>
      </c>
      <c r="E209" s="2" t="s">
        <v>37</v>
      </c>
      <c r="G209" s="1" t="str">
        <f>LEFT(الصنف[[#This Row],[تصنيف فرعي (2)]],4)</f>
        <v>1701</v>
      </c>
      <c r="H209" s="5" t="s">
        <v>1013</v>
      </c>
      <c r="I209" s="5" t="str">
        <f>LEFT(الصنف[[#This Row],[تصنيف فرعي (1)]],2)</f>
        <v>17</v>
      </c>
      <c r="J209" s="1" t="s">
        <v>905</v>
      </c>
      <c r="K209" s="1">
        <f>VLOOKUP(الصنف[[#This Row],[وحده القياس]],$S$4:$T$67,2,TRUE)</f>
        <v>35</v>
      </c>
      <c r="L209" s="1" t="s">
        <v>759</v>
      </c>
      <c r="M209" s="1">
        <v>1000</v>
      </c>
      <c r="N209" s="6" t="s">
        <v>743</v>
      </c>
      <c r="O209" s="7"/>
      <c r="P209" s="9">
        <f>IF(الصنف[[#This Row],[وحده المكونات]]="جرام",1,0)</f>
        <v>0</v>
      </c>
    </row>
    <row r="210" spans="2:16" ht="20.100000000000001" customHeight="1" x14ac:dyDescent="0.2">
      <c r="B210" s="4">
        <v>208</v>
      </c>
      <c r="C210" s="4">
        <v>1701005</v>
      </c>
      <c r="D210" s="2" t="s">
        <v>40</v>
      </c>
      <c r="E210" s="2" t="s">
        <v>895</v>
      </c>
      <c r="G210" s="1" t="str">
        <f>LEFT(الصنف[[#This Row],[تصنيف فرعي (2)]],4)</f>
        <v>1701</v>
      </c>
      <c r="H210" s="5" t="s">
        <v>1013</v>
      </c>
      <c r="I210" s="5" t="str">
        <f>LEFT(الصنف[[#This Row],[تصنيف فرعي (1)]],2)</f>
        <v>17</v>
      </c>
      <c r="J210" s="1" t="s">
        <v>905</v>
      </c>
      <c r="K210" s="1">
        <f>VLOOKUP(الصنف[[#This Row],[وحده القياس]],$S$4:$T$67,2,TRUE)</f>
        <v>52</v>
      </c>
      <c r="L210" s="1" t="s">
        <v>948</v>
      </c>
      <c r="M210" s="1">
        <v>170</v>
      </c>
      <c r="N210" s="6" t="s">
        <v>678</v>
      </c>
      <c r="O210" s="7"/>
      <c r="P210" s="9">
        <f>IF(الصنف[[#This Row],[وحده المكونات]]="جرام",1,0)</f>
        <v>1</v>
      </c>
    </row>
    <row r="211" spans="2:16" ht="20.100000000000001" customHeight="1" x14ac:dyDescent="0.2">
      <c r="B211" s="4">
        <v>209</v>
      </c>
      <c r="C211" s="4">
        <v>1702001</v>
      </c>
      <c r="D211" s="2" t="s">
        <v>250</v>
      </c>
      <c r="E211" s="2" t="s">
        <v>250</v>
      </c>
      <c r="G211" s="1" t="str">
        <f>LEFT(الصنف[[#This Row],[تصنيف فرعي (2)]],4)</f>
        <v>1702</v>
      </c>
      <c r="H211" s="5" t="s">
        <v>1014</v>
      </c>
      <c r="I211" s="5" t="str">
        <f>LEFT(الصنف[[#This Row],[تصنيف فرعي (1)]],2)</f>
        <v>17</v>
      </c>
      <c r="J211" s="1" t="s">
        <v>905</v>
      </c>
      <c r="K211" s="1">
        <f>VLOOKUP(الصنف[[#This Row],[وحده القياس]],$S$4:$T$67,2,TRUE)</f>
        <v>31</v>
      </c>
      <c r="L211" s="1" t="s">
        <v>918</v>
      </c>
      <c r="M211" s="1">
        <v>5</v>
      </c>
      <c r="N211" s="6" t="s">
        <v>742</v>
      </c>
      <c r="O211" s="7"/>
      <c r="P211" s="9">
        <f>IF(الصنف[[#This Row],[وحده المكونات]]="جرام",1,0)</f>
        <v>0</v>
      </c>
    </row>
    <row r="212" spans="2:16" ht="20.100000000000001" customHeight="1" x14ac:dyDescent="0.2">
      <c r="B212" s="4">
        <v>210</v>
      </c>
      <c r="C212" s="4">
        <v>1702002</v>
      </c>
      <c r="D212" s="2" t="s">
        <v>261</v>
      </c>
      <c r="E212" s="2" t="s">
        <v>261</v>
      </c>
      <c r="G212" s="1" t="str">
        <f>LEFT(الصنف[[#This Row],[تصنيف فرعي (2)]],4)</f>
        <v>1702</v>
      </c>
      <c r="H212" s="5" t="s">
        <v>1014</v>
      </c>
      <c r="I212" s="5" t="str">
        <f>LEFT(الصنف[[#This Row],[تصنيف فرعي (1)]],2)</f>
        <v>17</v>
      </c>
      <c r="J212" s="1" t="s">
        <v>905</v>
      </c>
      <c r="K212" s="1">
        <f>VLOOKUP(الصنف[[#This Row],[وحده القياس]],$S$4:$T$67,2,TRUE)</f>
        <v>60</v>
      </c>
      <c r="L212" s="1" t="s">
        <v>686</v>
      </c>
      <c r="M212" s="1">
        <v>1000</v>
      </c>
      <c r="N212" s="6" t="s">
        <v>678</v>
      </c>
      <c r="O212" s="7"/>
      <c r="P212" s="9">
        <f>IF(الصنف[[#This Row],[وحده المكونات]]="جرام",1,0)</f>
        <v>1</v>
      </c>
    </row>
    <row r="213" spans="2:16" ht="20.100000000000001" customHeight="1" x14ac:dyDescent="0.2">
      <c r="B213" s="4">
        <v>211</v>
      </c>
      <c r="C213" s="4">
        <v>1702003</v>
      </c>
      <c r="D213" s="2" t="s">
        <v>908</v>
      </c>
      <c r="E213" s="2" t="s">
        <v>306</v>
      </c>
      <c r="G213" s="1" t="str">
        <f>LEFT(الصنف[[#This Row],[تصنيف فرعي (2)]],4)</f>
        <v>1702</v>
      </c>
      <c r="H213" s="5" t="s">
        <v>1014</v>
      </c>
      <c r="I213" s="5" t="str">
        <f>LEFT(الصنف[[#This Row],[تصنيف فرعي (1)]],2)</f>
        <v>17</v>
      </c>
      <c r="J213" s="1" t="s">
        <v>905</v>
      </c>
      <c r="K213" s="1">
        <f>VLOOKUP(الصنف[[#This Row],[وحده القياس]],$S$4:$T$67,2,TRUE)</f>
        <v>60</v>
      </c>
      <c r="L213" s="1" t="s">
        <v>686</v>
      </c>
      <c r="M213" s="1">
        <v>1000</v>
      </c>
      <c r="N213" s="6" t="s">
        <v>678</v>
      </c>
      <c r="O213" s="7"/>
      <c r="P213" s="9">
        <f>IF(الصنف[[#This Row],[وحده المكونات]]="جرام",1,0)</f>
        <v>1</v>
      </c>
    </row>
    <row r="214" spans="2:16" ht="20.100000000000001" customHeight="1" x14ac:dyDescent="0.2">
      <c r="B214" s="4">
        <v>212</v>
      </c>
      <c r="C214" s="4">
        <v>1702004</v>
      </c>
      <c r="D214" s="2" t="s">
        <v>405</v>
      </c>
      <c r="E214" s="2" t="s">
        <v>405</v>
      </c>
      <c r="G214" s="1" t="str">
        <f>LEFT(الصنف[[#This Row],[تصنيف فرعي (2)]],4)</f>
        <v>1702</v>
      </c>
      <c r="H214" s="5" t="s">
        <v>1014</v>
      </c>
      <c r="I214" s="5" t="str">
        <f>LEFT(الصنف[[#This Row],[تصنيف فرعي (1)]],2)</f>
        <v>17</v>
      </c>
      <c r="J214" s="1" t="s">
        <v>905</v>
      </c>
      <c r="K214" s="1">
        <f>VLOOKUP(الصنف[[#This Row],[وحده القياس]],$S$4:$T$67,2,TRUE)</f>
        <v>60</v>
      </c>
      <c r="L214" s="1" t="s">
        <v>686</v>
      </c>
      <c r="M214" s="1">
        <v>1000</v>
      </c>
      <c r="N214" s="6" t="s">
        <v>678</v>
      </c>
      <c r="O214" s="7"/>
      <c r="P214" s="9">
        <f>IF(الصنف[[#This Row],[وحده المكونات]]="جرام",1,0)</f>
        <v>1</v>
      </c>
    </row>
    <row r="215" spans="2:16" ht="20.100000000000001" customHeight="1" x14ac:dyDescent="0.2">
      <c r="B215" s="4">
        <v>213</v>
      </c>
      <c r="C215" s="4">
        <v>1702005</v>
      </c>
      <c r="D215" s="2" t="s">
        <v>36</v>
      </c>
      <c r="E215" s="2" t="s">
        <v>36</v>
      </c>
      <c r="G215" s="1" t="str">
        <f>LEFT(الصنف[[#This Row],[تصنيف فرعي (2)]],4)</f>
        <v>1702</v>
      </c>
      <c r="H215" s="5" t="s">
        <v>1014</v>
      </c>
      <c r="I215" s="5" t="str">
        <f>LEFT(الصنف[[#This Row],[تصنيف فرعي (1)]],2)</f>
        <v>17</v>
      </c>
      <c r="J215" s="1" t="s">
        <v>905</v>
      </c>
      <c r="K215" s="1">
        <f>VLOOKUP(الصنف[[#This Row],[وحده القياس]],$S$4:$T$67,2,TRUE)</f>
        <v>60</v>
      </c>
      <c r="L215" s="1" t="s">
        <v>686</v>
      </c>
      <c r="M215" s="1">
        <v>1000</v>
      </c>
      <c r="N215" s="6" t="s">
        <v>678</v>
      </c>
      <c r="O215" s="7"/>
      <c r="P215" s="9">
        <f>IF(الصنف[[#This Row],[وحده المكونات]]="جرام",1,0)</f>
        <v>1</v>
      </c>
    </row>
    <row r="216" spans="2:16" ht="20.100000000000001" customHeight="1" x14ac:dyDescent="0.2">
      <c r="B216" s="4">
        <v>214</v>
      </c>
      <c r="C216" s="4">
        <v>1702006</v>
      </c>
      <c r="D216" s="2" t="s">
        <v>909</v>
      </c>
      <c r="E216" s="2" t="s">
        <v>309</v>
      </c>
      <c r="G216" s="1" t="str">
        <f>LEFT(الصنف[[#This Row],[تصنيف فرعي (2)]],4)</f>
        <v>1702</v>
      </c>
      <c r="H216" s="5" t="s">
        <v>1014</v>
      </c>
      <c r="I216" s="5" t="str">
        <f>LEFT(الصنف[[#This Row],[تصنيف فرعي (1)]],2)</f>
        <v>17</v>
      </c>
      <c r="J216" s="1" t="s">
        <v>905</v>
      </c>
      <c r="K216" s="1">
        <f>VLOOKUP(الصنف[[#This Row],[وحده القياس]],$S$4:$T$67,2,TRUE)</f>
        <v>60</v>
      </c>
      <c r="L216" s="1" t="s">
        <v>686</v>
      </c>
      <c r="M216" s="1">
        <v>1000</v>
      </c>
      <c r="N216" s="6" t="s">
        <v>678</v>
      </c>
      <c r="O216" s="7"/>
      <c r="P216" s="9">
        <f>IF(الصنف[[#This Row],[وحده المكونات]]="جرام",1,0)</f>
        <v>1</v>
      </c>
    </row>
    <row r="217" spans="2:16" ht="20.100000000000001" customHeight="1" x14ac:dyDescent="0.2">
      <c r="B217" s="4">
        <v>215</v>
      </c>
      <c r="C217" s="4">
        <v>1702007</v>
      </c>
      <c r="D217" s="2" t="s">
        <v>910</v>
      </c>
      <c r="E217" s="2" t="s">
        <v>308</v>
      </c>
      <c r="G217" s="1" t="str">
        <f>LEFT(الصنف[[#This Row],[تصنيف فرعي (2)]],4)</f>
        <v>1702</v>
      </c>
      <c r="H217" s="5" t="s">
        <v>1014</v>
      </c>
      <c r="I217" s="5" t="str">
        <f>LEFT(الصنف[[#This Row],[تصنيف فرعي (1)]],2)</f>
        <v>17</v>
      </c>
      <c r="J217" s="1" t="s">
        <v>905</v>
      </c>
      <c r="K217" s="1">
        <f>VLOOKUP(الصنف[[#This Row],[وحده القياس]],$S$4:$T$67,2,TRUE)</f>
        <v>60</v>
      </c>
      <c r="L217" s="1" t="s">
        <v>686</v>
      </c>
      <c r="M217" s="1">
        <v>1000</v>
      </c>
      <c r="N217" s="6" t="s">
        <v>678</v>
      </c>
      <c r="O217" s="7"/>
      <c r="P217" s="9">
        <f>IF(الصنف[[#This Row],[وحده المكونات]]="جرام",1,0)</f>
        <v>1</v>
      </c>
    </row>
    <row r="218" spans="2:16" ht="20.100000000000001" customHeight="1" x14ac:dyDescent="0.2">
      <c r="B218" s="4">
        <v>216</v>
      </c>
      <c r="C218" s="4">
        <v>1702008</v>
      </c>
      <c r="D218" s="2" t="s">
        <v>404</v>
      </c>
      <c r="E218" s="2" t="s">
        <v>404</v>
      </c>
      <c r="G218" s="1" t="str">
        <f>LEFT(الصنف[[#This Row],[تصنيف فرعي (2)]],4)</f>
        <v>1702</v>
      </c>
      <c r="H218" s="5" t="s">
        <v>1014</v>
      </c>
      <c r="I218" s="5" t="str">
        <f>LEFT(الصنف[[#This Row],[تصنيف فرعي (1)]],2)</f>
        <v>17</v>
      </c>
      <c r="J218" s="1" t="s">
        <v>905</v>
      </c>
      <c r="K218" s="1">
        <f>VLOOKUP(الصنف[[#This Row],[وحده القياس]],$S$4:$T$67,2,TRUE)</f>
        <v>60</v>
      </c>
      <c r="L218" s="1" t="s">
        <v>686</v>
      </c>
      <c r="M218" s="1">
        <v>1000</v>
      </c>
      <c r="N218" s="6" t="s">
        <v>678</v>
      </c>
      <c r="O218" s="7"/>
      <c r="P218" s="9">
        <f>IF(الصنف[[#This Row],[وحده المكونات]]="جرام",1,0)</f>
        <v>1</v>
      </c>
    </row>
    <row r="219" spans="2:16" ht="20.100000000000001" customHeight="1" x14ac:dyDescent="0.2">
      <c r="B219" s="4">
        <v>217</v>
      </c>
      <c r="C219" s="4">
        <v>1702009</v>
      </c>
      <c r="D219" s="2" t="s">
        <v>534</v>
      </c>
      <c r="E219" s="2" t="s">
        <v>534</v>
      </c>
      <c r="G219" s="1" t="str">
        <f>LEFT(الصنف[[#This Row],[تصنيف فرعي (2)]],4)</f>
        <v>1702</v>
      </c>
      <c r="H219" s="5" t="s">
        <v>1014</v>
      </c>
      <c r="I219" s="5" t="str">
        <f>LEFT(الصنف[[#This Row],[تصنيف فرعي (1)]],2)</f>
        <v>17</v>
      </c>
      <c r="J219" s="1" t="s">
        <v>905</v>
      </c>
      <c r="K219" s="1">
        <f>VLOOKUP(الصنف[[#This Row],[وحده القياس]],$S$4:$T$67,2,TRUE)</f>
        <v>31</v>
      </c>
      <c r="L219" s="1" t="s">
        <v>918</v>
      </c>
      <c r="M219" s="1">
        <v>5</v>
      </c>
      <c r="N219" s="6" t="s">
        <v>742</v>
      </c>
      <c r="O219" s="7"/>
      <c r="P219" s="9">
        <f>IF(الصنف[[#This Row],[وحده المكونات]]="جرام",1,0)</f>
        <v>0</v>
      </c>
    </row>
    <row r="220" spans="2:16" ht="20.100000000000001" customHeight="1" x14ac:dyDescent="0.2">
      <c r="B220" s="4">
        <v>218</v>
      </c>
      <c r="C220" s="4">
        <v>1702010</v>
      </c>
      <c r="D220" s="2" t="s">
        <v>259</v>
      </c>
      <c r="E220" s="2" t="s">
        <v>259</v>
      </c>
      <c r="G220" s="1" t="str">
        <f>LEFT(الصنف[[#This Row],[تصنيف فرعي (2)]],4)</f>
        <v>1702</v>
      </c>
      <c r="H220" s="5" t="s">
        <v>1014</v>
      </c>
      <c r="I220" s="5" t="str">
        <f>LEFT(الصنف[[#This Row],[تصنيف فرعي (1)]],2)</f>
        <v>17</v>
      </c>
      <c r="J220" s="1" t="s">
        <v>905</v>
      </c>
      <c r="K220" s="1">
        <f>VLOOKUP(الصنف[[#This Row],[وحده القياس]],$S$4:$T$67,2,TRUE)</f>
        <v>60</v>
      </c>
      <c r="L220" s="1" t="s">
        <v>686</v>
      </c>
      <c r="M220" s="1">
        <v>1000</v>
      </c>
      <c r="N220" s="6" t="s">
        <v>678</v>
      </c>
      <c r="O220" s="7"/>
      <c r="P220" s="9">
        <f>IF(الصنف[[#This Row],[وحده المكونات]]="جرام",1,0)</f>
        <v>1</v>
      </c>
    </row>
    <row r="221" spans="2:16" ht="20.100000000000001" customHeight="1" x14ac:dyDescent="0.2">
      <c r="B221" s="4">
        <v>219</v>
      </c>
      <c r="C221" s="4">
        <v>1702011</v>
      </c>
      <c r="D221" s="2" t="s">
        <v>310</v>
      </c>
      <c r="E221" s="2" t="s">
        <v>310</v>
      </c>
      <c r="G221" s="1" t="str">
        <f>LEFT(الصنف[[#This Row],[تصنيف فرعي (2)]],4)</f>
        <v>1702</v>
      </c>
      <c r="H221" s="5" t="s">
        <v>1014</v>
      </c>
      <c r="I221" s="5" t="str">
        <f>LEFT(الصنف[[#This Row],[تصنيف فرعي (1)]],2)</f>
        <v>17</v>
      </c>
      <c r="J221" s="1" t="s">
        <v>905</v>
      </c>
      <c r="K221" s="1">
        <f>VLOOKUP(الصنف[[#This Row],[وحده القياس]],$S$4:$T$67,2,TRUE)</f>
        <v>60</v>
      </c>
      <c r="L221" s="1" t="s">
        <v>686</v>
      </c>
      <c r="M221" s="1">
        <v>1000</v>
      </c>
      <c r="N221" s="6" t="s">
        <v>678</v>
      </c>
      <c r="O221" s="7"/>
      <c r="P221" s="9">
        <f>IF(الصنف[[#This Row],[وحده المكونات]]="جرام",1,0)</f>
        <v>1</v>
      </c>
    </row>
    <row r="222" spans="2:16" ht="20.100000000000001" customHeight="1" x14ac:dyDescent="0.2">
      <c r="B222" s="4">
        <v>220</v>
      </c>
      <c r="C222" s="4">
        <v>1703001</v>
      </c>
      <c r="D222" s="2" t="s">
        <v>622</v>
      </c>
      <c r="E222" s="2" t="s">
        <v>622</v>
      </c>
      <c r="G222" s="1" t="str">
        <f>LEFT(الصنف[[#This Row],[تصنيف فرعي (2)]],4)</f>
        <v>1703</v>
      </c>
      <c r="H222" s="5" t="s">
        <v>1015</v>
      </c>
      <c r="I222" s="5" t="str">
        <f>LEFT(الصنف[[#This Row],[تصنيف فرعي (1)]],2)</f>
        <v>17</v>
      </c>
      <c r="J222" s="1" t="s">
        <v>905</v>
      </c>
      <c r="K222" s="1">
        <f>VLOOKUP(الصنف[[#This Row],[وحده القياس]],$S$4:$T$67,2,TRUE)</f>
        <v>37</v>
      </c>
      <c r="L222" s="1" t="s">
        <v>779</v>
      </c>
      <c r="M222" s="1">
        <v>180</v>
      </c>
      <c r="N222" s="6" t="s">
        <v>678</v>
      </c>
      <c r="O222" s="7"/>
      <c r="P222" s="9">
        <f>IF(الصنف[[#This Row],[وحده المكونات]]="جرام",1,0)</f>
        <v>1</v>
      </c>
    </row>
    <row r="223" spans="2:16" ht="20.100000000000001" customHeight="1" x14ac:dyDescent="0.2">
      <c r="B223" s="4">
        <v>221</v>
      </c>
      <c r="C223" s="4">
        <v>1703002</v>
      </c>
      <c r="D223" s="2" t="s">
        <v>603</v>
      </c>
      <c r="E223" s="2" t="s">
        <v>603</v>
      </c>
      <c r="G223" s="1" t="str">
        <f>LEFT(الصنف[[#This Row],[تصنيف فرعي (2)]],4)</f>
        <v>1703</v>
      </c>
      <c r="H223" s="5" t="s">
        <v>1015</v>
      </c>
      <c r="I223" s="5" t="str">
        <f>LEFT(الصنف[[#This Row],[تصنيف فرعي (1)]],2)</f>
        <v>17</v>
      </c>
      <c r="J223" s="1" t="s">
        <v>905</v>
      </c>
      <c r="K223" s="1">
        <f>VLOOKUP(الصنف[[#This Row],[وحده القياس]],$S$4:$T$67,2,TRUE)</f>
        <v>6</v>
      </c>
      <c r="L223" s="1" t="s">
        <v>680</v>
      </c>
      <c r="M223" s="1">
        <v>3000</v>
      </c>
      <c r="N223" s="6" t="s">
        <v>678</v>
      </c>
      <c r="O223" s="7"/>
      <c r="P223" s="9">
        <f>IF(الصنف[[#This Row],[وحده المكونات]]="جرام",1,0)</f>
        <v>1</v>
      </c>
    </row>
    <row r="224" spans="2:16" ht="20.100000000000001" customHeight="1" x14ac:dyDescent="0.2">
      <c r="B224" s="4">
        <v>222</v>
      </c>
      <c r="C224" s="4">
        <v>1703003</v>
      </c>
      <c r="D224" s="2" t="s">
        <v>604</v>
      </c>
      <c r="E224" s="2" t="s">
        <v>604</v>
      </c>
      <c r="G224" s="1" t="str">
        <f>LEFT(الصنف[[#This Row],[تصنيف فرعي (2)]],4)</f>
        <v>1703</v>
      </c>
      <c r="H224" s="5" t="s">
        <v>1015</v>
      </c>
      <c r="I224" s="5" t="str">
        <f>LEFT(الصنف[[#This Row],[تصنيف فرعي (1)]],2)</f>
        <v>17</v>
      </c>
      <c r="J224" s="1" t="s">
        <v>905</v>
      </c>
      <c r="K224" s="1">
        <f>VLOOKUP(الصنف[[#This Row],[وحده القياس]],$S$4:$T$67,2,TRUE)</f>
        <v>7</v>
      </c>
      <c r="L224" s="1" t="s">
        <v>681</v>
      </c>
      <c r="M224" s="1">
        <v>5000</v>
      </c>
      <c r="N224" s="6" t="s">
        <v>678</v>
      </c>
      <c r="O224" s="7"/>
      <c r="P224" s="9">
        <f>IF(الصنف[[#This Row],[وحده المكونات]]="جرام",1,0)</f>
        <v>1</v>
      </c>
    </row>
    <row r="225" spans="2:16" ht="20.100000000000001" customHeight="1" x14ac:dyDescent="0.2">
      <c r="B225" s="4">
        <v>223</v>
      </c>
      <c r="C225" s="4">
        <v>1703004</v>
      </c>
      <c r="D225" s="2" t="s">
        <v>496</v>
      </c>
      <c r="E225" s="2" t="s">
        <v>496</v>
      </c>
      <c r="G225" s="1" t="str">
        <f>LEFT(الصنف[[#This Row],[تصنيف فرعي (2)]],4)</f>
        <v>1703</v>
      </c>
      <c r="H225" s="5" t="s">
        <v>1015</v>
      </c>
      <c r="I225" s="5" t="str">
        <f>LEFT(الصنف[[#This Row],[تصنيف فرعي (1)]],2)</f>
        <v>17</v>
      </c>
      <c r="J225" s="1" t="s">
        <v>905</v>
      </c>
      <c r="K225" s="1">
        <f>VLOOKUP(الصنف[[#This Row],[وحده القياس]],$S$4:$T$67,2,TRUE)</f>
        <v>37</v>
      </c>
      <c r="L225" s="1" t="s">
        <v>779</v>
      </c>
      <c r="M225" s="1">
        <v>180</v>
      </c>
      <c r="N225" s="6" t="s">
        <v>678</v>
      </c>
      <c r="O225" s="7"/>
      <c r="P225" s="9">
        <f>IF(الصنف[[#This Row],[وحده المكونات]]="جرام",1,0)</f>
        <v>1</v>
      </c>
    </row>
    <row r="226" spans="2:16" ht="20.100000000000001" customHeight="1" x14ac:dyDescent="0.2">
      <c r="B226" s="4">
        <v>224</v>
      </c>
      <c r="C226" s="4">
        <v>1704001</v>
      </c>
      <c r="D226" s="2" t="s">
        <v>848</v>
      </c>
      <c r="E226" s="2" t="s">
        <v>569</v>
      </c>
      <c r="G226" s="1" t="str">
        <f>LEFT(الصنف[[#This Row],[تصنيف فرعي (2)]],4)</f>
        <v>1704</v>
      </c>
      <c r="H226" s="5" t="s">
        <v>1016</v>
      </c>
      <c r="I226" s="5" t="str">
        <f>LEFT(الصنف[[#This Row],[تصنيف فرعي (1)]],2)</f>
        <v>17</v>
      </c>
      <c r="J226" s="1" t="s">
        <v>905</v>
      </c>
      <c r="K226" s="1">
        <f>VLOOKUP(الصنف[[#This Row],[وحده القياس]],$S$4:$T$67,2,TRUE)</f>
        <v>36</v>
      </c>
      <c r="L226" s="1" t="s">
        <v>904</v>
      </c>
      <c r="M226" s="1">
        <v>1500</v>
      </c>
      <c r="N226" s="6" t="s">
        <v>743</v>
      </c>
      <c r="O226" s="7"/>
      <c r="P226" s="9">
        <f>IF(الصنف[[#This Row],[وحده المكونات]]="جرام",1,0)</f>
        <v>0</v>
      </c>
    </row>
    <row r="227" spans="2:16" ht="20.100000000000001" customHeight="1" x14ac:dyDescent="0.2">
      <c r="B227" s="4">
        <v>225</v>
      </c>
      <c r="C227" s="4">
        <v>1704002</v>
      </c>
      <c r="D227" s="2" t="s">
        <v>849</v>
      </c>
      <c r="E227" s="2" t="s">
        <v>337</v>
      </c>
      <c r="G227" s="1" t="str">
        <f>LEFT(الصنف[[#This Row],[تصنيف فرعي (2)]],4)</f>
        <v>1704</v>
      </c>
      <c r="H227" s="5" t="s">
        <v>1016</v>
      </c>
      <c r="I227" s="5" t="str">
        <f>LEFT(الصنف[[#This Row],[تصنيف فرعي (1)]],2)</f>
        <v>17</v>
      </c>
      <c r="J227" s="1" t="s">
        <v>905</v>
      </c>
      <c r="K227" s="1">
        <f>VLOOKUP(الصنف[[#This Row],[وحده القياس]],$S$4:$T$67,2,TRUE)</f>
        <v>36</v>
      </c>
      <c r="L227" s="1" t="s">
        <v>904</v>
      </c>
      <c r="M227" s="1">
        <v>1500</v>
      </c>
      <c r="N227" s="6" t="s">
        <v>743</v>
      </c>
      <c r="O227" s="7"/>
      <c r="P227" s="9">
        <f>IF(الصنف[[#This Row],[وحده المكونات]]="جرام",1,0)</f>
        <v>0</v>
      </c>
    </row>
    <row r="228" spans="2:16" ht="20.100000000000001" customHeight="1" x14ac:dyDescent="0.2">
      <c r="B228" s="4">
        <v>226</v>
      </c>
      <c r="C228" s="4">
        <v>1705001</v>
      </c>
      <c r="D228" s="2" t="s">
        <v>814</v>
      </c>
      <c r="E228" s="2" t="s">
        <v>814</v>
      </c>
      <c r="G228" s="1" t="str">
        <f>LEFT(الصنف[[#This Row],[تصنيف فرعي (2)]],4)</f>
        <v>1705</v>
      </c>
      <c r="H228" s="5" t="s">
        <v>1017</v>
      </c>
      <c r="I228" s="5" t="str">
        <f>LEFT(الصنف[[#This Row],[تصنيف فرعي (1)]],2)</f>
        <v>17</v>
      </c>
      <c r="J228" s="1" t="s">
        <v>905</v>
      </c>
      <c r="K228" s="1">
        <f>VLOOKUP(الصنف[[#This Row],[وحده القياس]],$S$4:$T$67,2,TRUE)</f>
        <v>6</v>
      </c>
      <c r="L228" s="1" t="s">
        <v>680</v>
      </c>
      <c r="M228" s="1">
        <v>3000</v>
      </c>
      <c r="N228" s="6" t="s">
        <v>678</v>
      </c>
      <c r="O228" s="7"/>
      <c r="P228" s="9">
        <f>IF(الصنف[[#This Row],[وحده المكونات]]="جرام",1,0)</f>
        <v>1</v>
      </c>
    </row>
    <row r="229" spans="2:16" ht="20.100000000000001" customHeight="1" x14ac:dyDescent="0.2">
      <c r="B229" s="4">
        <v>227</v>
      </c>
      <c r="C229" s="4">
        <v>1705002</v>
      </c>
      <c r="D229" s="2" t="s">
        <v>900</v>
      </c>
      <c r="E229" s="2" t="s">
        <v>685</v>
      </c>
      <c r="G229" s="1" t="str">
        <f>LEFT(الصنف[[#This Row],[تصنيف فرعي (2)]],4)</f>
        <v>1705</v>
      </c>
      <c r="H229" s="5" t="s">
        <v>1017</v>
      </c>
      <c r="I229" s="5" t="str">
        <f>LEFT(الصنف[[#This Row],[تصنيف فرعي (1)]],2)</f>
        <v>17</v>
      </c>
      <c r="J229" s="1" t="s">
        <v>905</v>
      </c>
      <c r="K229" s="1">
        <f>VLOOKUP(الصنف[[#This Row],[وحده القياس]],$S$4:$T$67,2,TRUE)</f>
        <v>6</v>
      </c>
      <c r="L229" s="1" t="s">
        <v>680</v>
      </c>
      <c r="M229" s="1">
        <v>3000</v>
      </c>
      <c r="N229" s="6" t="s">
        <v>678</v>
      </c>
      <c r="O229" s="7"/>
      <c r="P229" s="9">
        <f>IF(الصنف[[#This Row],[وحده المكونات]]="جرام",1,0)</f>
        <v>1</v>
      </c>
    </row>
    <row r="230" spans="2:16" ht="20.100000000000001" customHeight="1" x14ac:dyDescent="0.2">
      <c r="B230" s="4">
        <v>228</v>
      </c>
      <c r="C230" s="4">
        <v>1705003</v>
      </c>
      <c r="D230" s="2" t="s">
        <v>815</v>
      </c>
      <c r="E230" s="2" t="s">
        <v>815</v>
      </c>
      <c r="G230" s="1" t="str">
        <f>LEFT(الصنف[[#This Row],[تصنيف فرعي (2)]],4)</f>
        <v>1705</v>
      </c>
      <c r="H230" s="5" t="s">
        <v>1017</v>
      </c>
      <c r="I230" s="5" t="str">
        <f>LEFT(الصنف[[#This Row],[تصنيف فرعي (1)]],2)</f>
        <v>17</v>
      </c>
      <c r="J230" s="1" t="s">
        <v>905</v>
      </c>
      <c r="K230" s="1">
        <f>VLOOKUP(الصنف[[#This Row],[وحده القياس]],$S$4:$T$67,2,TRUE)</f>
        <v>6</v>
      </c>
      <c r="L230" s="1" t="s">
        <v>680</v>
      </c>
      <c r="M230" s="1">
        <v>3000</v>
      </c>
      <c r="N230" s="6" t="s">
        <v>678</v>
      </c>
      <c r="O230" s="7"/>
      <c r="P230" s="9">
        <f>IF(الصنف[[#This Row],[وحده المكونات]]="جرام",1,0)</f>
        <v>1</v>
      </c>
    </row>
    <row r="231" spans="2:16" ht="20.100000000000001" customHeight="1" x14ac:dyDescent="0.2">
      <c r="B231" s="4">
        <v>229</v>
      </c>
      <c r="C231" s="4">
        <v>1705004</v>
      </c>
      <c r="D231" s="2" t="s">
        <v>816</v>
      </c>
      <c r="E231" s="2" t="s">
        <v>816</v>
      </c>
      <c r="G231" s="1" t="str">
        <f>LEFT(الصنف[[#This Row],[تصنيف فرعي (2)]],4)</f>
        <v>1705</v>
      </c>
      <c r="H231" s="5" t="s">
        <v>1017</v>
      </c>
      <c r="I231" s="5" t="str">
        <f>LEFT(الصنف[[#This Row],[تصنيف فرعي (1)]],2)</f>
        <v>17</v>
      </c>
      <c r="J231" s="1" t="s">
        <v>905</v>
      </c>
      <c r="K231" s="1">
        <f>VLOOKUP(الصنف[[#This Row],[وحده القياس]],$S$4:$T$67,2,TRUE)</f>
        <v>6</v>
      </c>
      <c r="L231" s="1" t="s">
        <v>680</v>
      </c>
      <c r="M231" s="1">
        <v>3000</v>
      </c>
      <c r="N231" s="6" t="s">
        <v>678</v>
      </c>
      <c r="O231" s="7"/>
      <c r="P231" s="9">
        <f>IF(الصنف[[#This Row],[وحده المكونات]]="جرام",1,0)</f>
        <v>1</v>
      </c>
    </row>
    <row r="232" spans="2:16" ht="20.100000000000001" customHeight="1" x14ac:dyDescent="0.2">
      <c r="B232" s="4">
        <v>230</v>
      </c>
      <c r="C232" s="4">
        <v>1705005</v>
      </c>
      <c r="D232" s="2" t="s">
        <v>899</v>
      </c>
      <c r="E232" s="2" t="s">
        <v>684</v>
      </c>
      <c r="G232" s="1" t="str">
        <f>LEFT(الصنف[[#This Row],[تصنيف فرعي (2)]],4)</f>
        <v>1705</v>
      </c>
      <c r="H232" s="5" t="s">
        <v>1017</v>
      </c>
      <c r="I232" s="5" t="str">
        <f>LEFT(الصنف[[#This Row],[تصنيف فرعي (1)]],2)</f>
        <v>17</v>
      </c>
      <c r="J232" s="1" t="s">
        <v>905</v>
      </c>
      <c r="K232" s="1">
        <f>VLOOKUP(الصنف[[#This Row],[وحده القياس]],$S$4:$T$67,2,TRUE)</f>
        <v>6</v>
      </c>
      <c r="L232" s="1" t="s">
        <v>680</v>
      </c>
      <c r="M232" s="1">
        <v>3000</v>
      </c>
      <c r="N232" s="6" t="s">
        <v>678</v>
      </c>
      <c r="O232" s="7"/>
      <c r="P232" s="9">
        <f>IF(الصنف[[#This Row],[وحده المكونات]]="جرام",1,0)</f>
        <v>1</v>
      </c>
    </row>
    <row r="233" spans="2:16" ht="20.100000000000001" customHeight="1" x14ac:dyDescent="0.2">
      <c r="B233" s="4">
        <v>231</v>
      </c>
      <c r="C233" s="4">
        <v>1705006</v>
      </c>
      <c r="D233" s="2" t="s">
        <v>817</v>
      </c>
      <c r="E233" s="2" t="s">
        <v>817</v>
      </c>
      <c r="G233" s="1" t="str">
        <f>LEFT(الصنف[[#This Row],[تصنيف فرعي (2)]],4)</f>
        <v>1705</v>
      </c>
      <c r="H233" s="5" t="s">
        <v>1017</v>
      </c>
      <c r="I233" s="5" t="str">
        <f>LEFT(الصنف[[#This Row],[تصنيف فرعي (1)]],2)</f>
        <v>17</v>
      </c>
      <c r="J233" s="1" t="s">
        <v>905</v>
      </c>
      <c r="K233" s="1">
        <f>VLOOKUP(الصنف[[#This Row],[وحده القياس]],$S$4:$T$67,2,TRUE)</f>
        <v>6</v>
      </c>
      <c r="L233" s="1" t="s">
        <v>680</v>
      </c>
      <c r="M233" s="1">
        <v>3000</v>
      </c>
      <c r="N233" s="6" t="s">
        <v>678</v>
      </c>
      <c r="O233" s="7"/>
      <c r="P233" s="9">
        <f>IF(الصنف[[#This Row],[وحده المكونات]]="جرام",1,0)</f>
        <v>1</v>
      </c>
    </row>
    <row r="234" spans="2:16" ht="20.100000000000001" customHeight="1" x14ac:dyDescent="0.2">
      <c r="B234" s="4">
        <v>232</v>
      </c>
      <c r="C234" s="4">
        <v>1705007</v>
      </c>
      <c r="D234" s="2" t="s">
        <v>818</v>
      </c>
      <c r="E234" s="2" t="s">
        <v>818</v>
      </c>
      <c r="G234" s="1" t="str">
        <f>LEFT(الصنف[[#This Row],[تصنيف فرعي (2)]],4)</f>
        <v>1705</v>
      </c>
      <c r="H234" s="5" t="s">
        <v>1017</v>
      </c>
      <c r="I234" s="5" t="str">
        <f>LEFT(الصنف[[#This Row],[تصنيف فرعي (1)]],2)</f>
        <v>17</v>
      </c>
      <c r="J234" s="1" t="s">
        <v>905</v>
      </c>
      <c r="K234" s="1">
        <f>VLOOKUP(الصنف[[#This Row],[وحده القياس]],$S$4:$T$67,2,TRUE)</f>
        <v>6</v>
      </c>
      <c r="L234" s="1" t="s">
        <v>680</v>
      </c>
      <c r="M234" s="1">
        <v>3000</v>
      </c>
      <c r="N234" s="6" t="s">
        <v>678</v>
      </c>
      <c r="O234" s="7"/>
      <c r="P234" s="9">
        <f>IF(الصنف[[#This Row],[وحده المكونات]]="جرام",1,0)</f>
        <v>1</v>
      </c>
    </row>
    <row r="235" spans="2:16" ht="20.100000000000001" customHeight="1" x14ac:dyDescent="0.2">
      <c r="B235" s="4">
        <v>233</v>
      </c>
      <c r="C235" s="4">
        <v>1705008</v>
      </c>
      <c r="D235" s="2" t="s">
        <v>819</v>
      </c>
      <c r="E235" s="2" t="s">
        <v>819</v>
      </c>
      <c r="G235" s="1" t="str">
        <f>LEFT(الصنف[[#This Row],[تصنيف فرعي (2)]],4)</f>
        <v>1705</v>
      </c>
      <c r="H235" s="5" t="s">
        <v>1017</v>
      </c>
      <c r="I235" s="5" t="str">
        <f>LEFT(الصنف[[#This Row],[تصنيف فرعي (1)]],2)</f>
        <v>17</v>
      </c>
      <c r="J235" s="1" t="s">
        <v>905</v>
      </c>
      <c r="K235" s="1">
        <f>VLOOKUP(الصنف[[#This Row],[وحده القياس]],$S$4:$T$67,2,TRUE)</f>
        <v>6</v>
      </c>
      <c r="L235" s="1" t="s">
        <v>680</v>
      </c>
      <c r="M235" s="1">
        <v>3000</v>
      </c>
      <c r="N235" s="6" t="s">
        <v>678</v>
      </c>
      <c r="O235" s="7"/>
      <c r="P235" s="9">
        <f>IF(الصنف[[#This Row],[وحده المكونات]]="جرام",1,0)</f>
        <v>1</v>
      </c>
    </row>
    <row r="236" spans="2:16" ht="20.100000000000001" customHeight="1" x14ac:dyDescent="0.2">
      <c r="B236" s="4">
        <v>234</v>
      </c>
      <c r="C236" s="4">
        <v>1705009</v>
      </c>
      <c r="D236" s="2" t="s">
        <v>820</v>
      </c>
      <c r="E236" s="2" t="s">
        <v>820</v>
      </c>
      <c r="G236" s="1" t="str">
        <f>LEFT(الصنف[[#This Row],[تصنيف فرعي (2)]],4)</f>
        <v>1705</v>
      </c>
      <c r="H236" s="5" t="s">
        <v>1017</v>
      </c>
      <c r="I236" s="5" t="str">
        <f>LEFT(الصنف[[#This Row],[تصنيف فرعي (1)]],2)</f>
        <v>17</v>
      </c>
      <c r="J236" s="1" t="s">
        <v>905</v>
      </c>
      <c r="K236" s="1">
        <f>VLOOKUP(الصنف[[#This Row],[وحده القياس]],$S$4:$T$67,2,TRUE)</f>
        <v>6</v>
      </c>
      <c r="L236" s="1" t="s">
        <v>680</v>
      </c>
      <c r="M236" s="1">
        <v>3000</v>
      </c>
      <c r="N236" s="6" t="s">
        <v>678</v>
      </c>
      <c r="O236" s="7"/>
      <c r="P236" s="9">
        <f>IF(الصنف[[#This Row],[وحده المكونات]]="جرام",1,0)</f>
        <v>1</v>
      </c>
    </row>
    <row r="237" spans="2:16" ht="20.100000000000001" customHeight="1" x14ac:dyDescent="0.2">
      <c r="B237" s="4">
        <v>235</v>
      </c>
      <c r="C237" s="4">
        <v>1705010</v>
      </c>
      <c r="D237" s="2" t="s">
        <v>821</v>
      </c>
      <c r="E237" s="2" t="s">
        <v>821</v>
      </c>
      <c r="G237" s="1" t="str">
        <f>LEFT(الصنف[[#This Row],[تصنيف فرعي (2)]],4)</f>
        <v>1705</v>
      </c>
      <c r="H237" s="5" t="s">
        <v>1017</v>
      </c>
      <c r="I237" s="5" t="str">
        <f>LEFT(الصنف[[#This Row],[تصنيف فرعي (1)]],2)</f>
        <v>17</v>
      </c>
      <c r="J237" s="1" t="s">
        <v>905</v>
      </c>
      <c r="K237" s="1">
        <f>VLOOKUP(الصنف[[#This Row],[وحده القياس]],$S$4:$T$67,2,TRUE)</f>
        <v>6</v>
      </c>
      <c r="L237" s="1" t="s">
        <v>680</v>
      </c>
      <c r="M237" s="1">
        <v>3000</v>
      </c>
      <c r="N237" s="6" t="s">
        <v>678</v>
      </c>
      <c r="O237" s="7"/>
      <c r="P237" s="9">
        <f>IF(الصنف[[#This Row],[وحده المكونات]]="جرام",1,0)</f>
        <v>1</v>
      </c>
    </row>
    <row r="238" spans="2:16" ht="20.100000000000001" customHeight="1" x14ac:dyDescent="0.2">
      <c r="B238" s="4">
        <v>236</v>
      </c>
      <c r="C238" s="4">
        <v>1705011</v>
      </c>
      <c r="D238" s="2" t="s">
        <v>822</v>
      </c>
      <c r="E238" s="2" t="s">
        <v>822</v>
      </c>
      <c r="G238" s="1" t="str">
        <f>LEFT(الصنف[[#This Row],[تصنيف فرعي (2)]],4)</f>
        <v>1705</v>
      </c>
      <c r="H238" s="5" t="s">
        <v>1017</v>
      </c>
      <c r="I238" s="5" t="str">
        <f>LEFT(الصنف[[#This Row],[تصنيف فرعي (1)]],2)</f>
        <v>17</v>
      </c>
      <c r="J238" s="1" t="s">
        <v>905</v>
      </c>
      <c r="K238" s="1">
        <f>VLOOKUP(الصنف[[#This Row],[وحده القياس]],$S$4:$T$67,2,TRUE)</f>
        <v>6</v>
      </c>
      <c r="L238" s="1" t="s">
        <v>680</v>
      </c>
      <c r="M238" s="1">
        <v>3000</v>
      </c>
      <c r="N238" s="6" t="s">
        <v>678</v>
      </c>
      <c r="O238" s="7"/>
      <c r="P238" s="9">
        <f>IF(الصنف[[#This Row],[وحده المكونات]]="جرام",1,0)</f>
        <v>1</v>
      </c>
    </row>
    <row r="239" spans="2:16" ht="20.100000000000001" customHeight="1" x14ac:dyDescent="0.2">
      <c r="B239" s="4">
        <v>237</v>
      </c>
      <c r="C239" s="4">
        <v>1705012</v>
      </c>
      <c r="D239" s="2" t="s">
        <v>898</v>
      </c>
      <c r="E239" s="2" t="s">
        <v>683</v>
      </c>
      <c r="G239" s="1" t="str">
        <f>LEFT(الصنف[[#This Row],[تصنيف فرعي (2)]],4)</f>
        <v>1705</v>
      </c>
      <c r="H239" s="5" t="s">
        <v>1017</v>
      </c>
      <c r="I239" s="5" t="str">
        <f>LEFT(الصنف[[#This Row],[تصنيف فرعي (1)]],2)</f>
        <v>17</v>
      </c>
      <c r="J239" s="1" t="s">
        <v>905</v>
      </c>
      <c r="K239" s="1">
        <f>VLOOKUP(الصنف[[#This Row],[وحده القياس]],$S$4:$T$67,2,TRUE)</f>
        <v>6</v>
      </c>
      <c r="L239" s="1" t="s">
        <v>680</v>
      </c>
      <c r="M239" s="1">
        <v>3000</v>
      </c>
      <c r="N239" s="6" t="s">
        <v>678</v>
      </c>
      <c r="O239" s="7"/>
      <c r="P239" s="9">
        <f>IF(الصنف[[#This Row],[وحده المكونات]]="جرام",1,0)</f>
        <v>1</v>
      </c>
    </row>
    <row r="240" spans="2:16" ht="20.100000000000001" customHeight="1" x14ac:dyDescent="0.2">
      <c r="B240" s="4">
        <v>238</v>
      </c>
      <c r="C240" s="4">
        <v>1705013</v>
      </c>
      <c r="D240" s="2" t="s">
        <v>823</v>
      </c>
      <c r="E240" s="2" t="s">
        <v>823</v>
      </c>
      <c r="G240" s="1" t="str">
        <f>LEFT(الصنف[[#This Row],[تصنيف فرعي (2)]],4)</f>
        <v>1705</v>
      </c>
      <c r="H240" s="5" t="s">
        <v>1017</v>
      </c>
      <c r="I240" s="5" t="str">
        <f>LEFT(الصنف[[#This Row],[تصنيف فرعي (1)]],2)</f>
        <v>17</v>
      </c>
      <c r="J240" s="1" t="s">
        <v>905</v>
      </c>
      <c r="K240" s="1">
        <f>VLOOKUP(الصنف[[#This Row],[وحده القياس]],$S$4:$T$67,2,TRUE)</f>
        <v>6</v>
      </c>
      <c r="L240" s="1" t="s">
        <v>680</v>
      </c>
      <c r="M240" s="1">
        <v>3000</v>
      </c>
      <c r="N240" s="6" t="s">
        <v>678</v>
      </c>
      <c r="O240" s="7"/>
      <c r="P240" s="9">
        <f>IF(الصنف[[#This Row],[وحده المكونات]]="جرام",1,0)</f>
        <v>1</v>
      </c>
    </row>
    <row r="241" spans="2:16" ht="20.100000000000001" customHeight="1" x14ac:dyDescent="0.2">
      <c r="B241" s="4">
        <v>239</v>
      </c>
      <c r="C241" s="4">
        <v>1705014</v>
      </c>
      <c r="D241" s="2" t="s">
        <v>824</v>
      </c>
      <c r="E241" s="2" t="s">
        <v>824</v>
      </c>
      <c r="G241" s="1" t="str">
        <f>LEFT(الصنف[[#This Row],[تصنيف فرعي (2)]],4)</f>
        <v>1705</v>
      </c>
      <c r="H241" s="5" t="s">
        <v>1017</v>
      </c>
      <c r="I241" s="5" t="str">
        <f>LEFT(الصنف[[#This Row],[تصنيف فرعي (1)]],2)</f>
        <v>17</v>
      </c>
      <c r="J241" s="1" t="s">
        <v>905</v>
      </c>
      <c r="K241" s="1">
        <f>VLOOKUP(الصنف[[#This Row],[وحده القياس]],$S$4:$T$67,2,TRUE)</f>
        <v>6</v>
      </c>
      <c r="L241" s="1" t="s">
        <v>680</v>
      </c>
      <c r="M241" s="1">
        <v>3000</v>
      </c>
      <c r="N241" s="6" t="s">
        <v>678</v>
      </c>
      <c r="O241" s="7"/>
      <c r="P241" s="9">
        <f>IF(الصنف[[#This Row],[وحده المكونات]]="جرام",1,0)</f>
        <v>1</v>
      </c>
    </row>
    <row r="242" spans="2:16" ht="20.100000000000001" customHeight="1" x14ac:dyDescent="0.2">
      <c r="B242" s="4">
        <v>240</v>
      </c>
      <c r="C242" s="4">
        <v>1705015</v>
      </c>
      <c r="D242" s="2" t="s">
        <v>825</v>
      </c>
      <c r="E242" s="2" t="s">
        <v>825</v>
      </c>
      <c r="G242" s="1" t="str">
        <f>LEFT(الصنف[[#This Row],[تصنيف فرعي (2)]],4)</f>
        <v>1705</v>
      </c>
      <c r="H242" s="5" t="s">
        <v>1017</v>
      </c>
      <c r="I242" s="5" t="str">
        <f>LEFT(الصنف[[#This Row],[تصنيف فرعي (1)]],2)</f>
        <v>17</v>
      </c>
      <c r="J242" s="1" t="s">
        <v>905</v>
      </c>
      <c r="K242" s="1">
        <f>VLOOKUP(الصنف[[#This Row],[وحده القياس]],$S$4:$T$67,2,TRUE)</f>
        <v>6</v>
      </c>
      <c r="L242" s="1" t="s">
        <v>680</v>
      </c>
      <c r="M242" s="1">
        <v>3000</v>
      </c>
      <c r="N242" s="6" t="s">
        <v>678</v>
      </c>
      <c r="O242" s="7"/>
      <c r="P242" s="9">
        <f>IF(الصنف[[#This Row],[وحده المكونات]]="جرام",1,0)</f>
        <v>1</v>
      </c>
    </row>
    <row r="243" spans="2:16" ht="20.100000000000001" customHeight="1" x14ac:dyDescent="0.2">
      <c r="B243" s="4">
        <v>241</v>
      </c>
      <c r="C243" s="4">
        <v>1705016</v>
      </c>
      <c r="D243" s="2" t="s">
        <v>826</v>
      </c>
      <c r="E243" s="2" t="s">
        <v>826</v>
      </c>
      <c r="G243" s="1" t="str">
        <f>LEFT(الصنف[[#This Row],[تصنيف فرعي (2)]],4)</f>
        <v>1705</v>
      </c>
      <c r="H243" s="5" t="s">
        <v>1017</v>
      </c>
      <c r="I243" s="5" t="str">
        <f>LEFT(الصنف[[#This Row],[تصنيف فرعي (1)]],2)</f>
        <v>17</v>
      </c>
      <c r="J243" s="1" t="s">
        <v>905</v>
      </c>
      <c r="K243" s="1">
        <f>VLOOKUP(الصنف[[#This Row],[وحده القياس]],$S$4:$T$67,2,TRUE)</f>
        <v>6</v>
      </c>
      <c r="L243" s="1" t="s">
        <v>680</v>
      </c>
      <c r="M243" s="1">
        <v>3000</v>
      </c>
      <c r="N243" s="6" t="s">
        <v>678</v>
      </c>
      <c r="O243" s="7"/>
      <c r="P243" s="9">
        <f>IF(الصنف[[#This Row],[وحده المكونات]]="جرام",1,0)</f>
        <v>1</v>
      </c>
    </row>
    <row r="244" spans="2:16" ht="20.100000000000001" customHeight="1" x14ac:dyDescent="0.2">
      <c r="B244" s="4">
        <v>242</v>
      </c>
      <c r="C244" s="4">
        <v>1705017</v>
      </c>
      <c r="D244" s="2" t="s">
        <v>827</v>
      </c>
      <c r="E244" s="2" t="s">
        <v>679</v>
      </c>
      <c r="G244" s="1" t="str">
        <f>LEFT(الصنف[[#This Row],[تصنيف فرعي (2)]],4)</f>
        <v>1705</v>
      </c>
      <c r="H244" s="5" t="s">
        <v>1017</v>
      </c>
      <c r="I244" s="5" t="str">
        <f>LEFT(الصنف[[#This Row],[تصنيف فرعي (1)]],2)</f>
        <v>17</v>
      </c>
      <c r="J244" s="1" t="s">
        <v>905</v>
      </c>
      <c r="K244" s="1">
        <f>VLOOKUP(الصنف[[#This Row],[وحده القياس]],$S$4:$T$67,2,TRUE)</f>
        <v>7</v>
      </c>
      <c r="L244" s="1" t="s">
        <v>681</v>
      </c>
      <c r="M244" s="1">
        <v>5000</v>
      </c>
      <c r="N244" s="6" t="s">
        <v>678</v>
      </c>
      <c r="O244" s="7"/>
      <c r="P244" s="9">
        <f>IF(الصنف[[#This Row],[وحده المكونات]]="جرام",1,0)</f>
        <v>1</v>
      </c>
    </row>
    <row r="245" spans="2:16" ht="20.100000000000001" customHeight="1" x14ac:dyDescent="0.2">
      <c r="B245" s="4">
        <v>243</v>
      </c>
      <c r="C245" s="4">
        <v>1705018</v>
      </c>
      <c r="D245" s="2" t="s">
        <v>828</v>
      </c>
      <c r="E245" s="2" t="s">
        <v>610</v>
      </c>
      <c r="G245" s="1" t="str">
        <f>LEFT(الصنف[[#This Row],[تصنيف فرعي (2)]],4)</f>
        <v>1705</v>
      </c>
      <c r="H245" s="5" t="s">
        <v>1017</v>
      </c>
      <c r="I245" s="5" t="str">
        <f>LEFT(الصنف[[#This Row],[تصنيف فرعي (1)]],2)</f>
        <v>17</v>
      </c>
      <c r="J245" s="1" t="s">
        <v>905</v>
      </c>
      <c r="K245" s="1">
        <f>VLOOKUP(الصنف[[#This Row],[وحده القياس]],$S$4:$T$67,2,TRUE)</f>
        <v>7</v>
      </c>
      <c r="L245" s="1" t="s">
        <v>681</v>
      </c>
      <c r="M245" s="1">
        <v>5000</v>
      </c>
      <c r="N245" s="6" t="s">
        <v>678</v>
      </c>
      <c r="O245" s="7"/>
      <c r="P245" s="9">
        <f>IF(الصنف[[#This Row],[وحده المكونات]]="جرام",1,0)</f>
        <v>1</v>
      </c>
    </row>
    <row r="246" spans="2:16" ht="20.100000000000001" customHeight="1" x14ac:dyDescent="0.2">
      <c r="B246" s="4">
        <v>244</v>
      </c>
      <c r="C246" s="4">
        <v>1705019</v>
      </c>
      <c r="D246" s="2" t="s">
        <v>829</v>
      </c>
      <c r="E246" s="2" t="s">
        <v>613</v>
      </c>
      <c r="G246" s="1" t="str">
        <f>LEFT(الصنف[[#This Row],[تصنيف فرعي (2)]],4)</f>
        <v>1705</v>
      </c>
      <c r="H246" s="5" t="s">
        <v>1017</v>
      </c>
      <c r="I246" s="5" t="str">
        <f>LEFT(الصنف[[#This Row],[تصنيف فرعي (1)]],2)</f>
        <v>17</v>
      </c>
      <c r="J246" s="1" t="s">
        <v>905</v>
      </c>
      <c r="K246" s="1">
        <f>VLOOKUP(الصنف[[#This Row],[وحده القياس]],$S$4:$T$67,2,TRUE)</f>
        <v>7</v>
      </c>
      <c r="L246" s="1" t="s">
        <v>681</v>
      </c>
      <c r="M246" s="1">
        <v>5000</v>
      </c>
      <c r="N246" s="6" t="s">
        <v>678</v>
      </c>
      <c r="O246" s="7"/>
      <c r="P246" s="9">
        <f>IF(الصنف[[#This Row],[وحده المكونات]]="جرام",1,0)</f>
        <v>1</v>
      </c>
    </row>
    <row r="247" spans="2:16" ht="20.100000000000001" customHeight="1" x14ac:dyDescent="0.2">
      <c r="B247" s="4">
        <v>245</v>
      </c>
      <c r="C247" s="4">
        <v>1705020</v>
      </c>
      <c r="D247" s="2" t="s">
        <v>897</v>
      </c>
      <c r="E247" s="2" t="s">
        <v>623</v>
      </c>
      <c r="G247" s="1" t="str">
        <f>LEFT(الصنف[[#This Row],[تصنيف فرعي (2)]],4)</f>
        <v>1705</v>
      </c>
      <c r="H247" s="5" t="s">
        <v>1017</v>
      </c>
      <c r="I247" s="5" t="str">
        <f>LEFT(الصنف[[#This Row],[تصنيف فرعي (1)]],2)</f>
        <v>17</v>
      </c>
      <c r="J247" s="1" t="s">
        <v>905</v>
      </c>
      <c r="K247" s="1">
        <f>VLOOKUP(الصنف[[#This Row],[وحده القياس]],$S$4:$T$67,2,TRUE)</f>
        <v>7</v>
      </c>
      <c r="L247" s="1" t="s">
        <v>681</v>
      </c>
      <c r="M247" s="1">
        <v>5000</v>
      </c>
      <c r="N247" s="6" t="s">
        <v>678</v>
      </c>
      <c r="O247" s="7"/>
      <c r="P247" s="9">
        <f>IF(الصنف[[#This Row],[وحده المكونات]]="جرام",1,0)</f>
        <v>1</v>
      </c>
    </row>
    <row r="248" spans="2:16" ht="20.100000000000001" customHeight="1" x14ac:dyDescent="0.2">
      <c r="B248" s="4">
        <v>246</v>
      </c>
      <c r="C248" s="4">
        <v>1705021</v>
      </c>
      <c r="D248" s="2" t="s">
        <v>830</v>
      </c>
      <c r="E248" s="2" t="s">
        <v>615</v>
      </c>
      <c r="G248" s="1" t="str">
        <f>LEFT(الصنف[[#This Row],[تصنيف فرعي (2)]],4)</f>
        <v>1705</v>
      </c>
      <c r="H248" s="5" t="s">
        <v>1017</v>
      </c>
      <c r="I248" s="5" t="str">
        <f>LEFT(الصنف[[#This Row],[تصنيف فرعي (1)]],2)</f>
        <v>17</v>
      </c>
      <c r="J248" s="1" t="s">
        <v>905</v>
      </c>
      <c r="K248" s="1">
        <f>VLOOKUP(الصنف[[#This Row],[وحده القياس]],$S$4:$T$67,2,TRUE)</f>
        <v>7</v>
      </c>
      <c r="L248" s="1" t="s">
        <v>681</v>
      </c>
      <c r="M248" s="1">
        <v>5000</v>
      </c>
      <c r="N248" s="6" t="s">
        <v>678</v>
      </c>
      <c r="O248" s="7"/>
      <c r="P248" s="9">
        <f>IF(الصنف[[#This Row],[وحده المكونات]]="جرام",1,0)</f>
        <v>1</v>
      </c>
    </row>
    <row r="249" spans="2:16" ht="20.100000000000001" customHeight="1" x14ac:dyDescent="0.2">
      <c r="B249" s="4">
        <v>247</v>
      </c>
      <c r="C249" s="4">
        <v>1705022</v>
      </c>
      <c r="D249" s="2" t="s">
        <v>831</v>
      </c>
      <c r="E249" s="2" t="s">
        <v>614</v>
      </c>
      <c r="G249" s="1" t="str">
        <f>LEFT(الصنف[[#This Row],[تصنيف فرعي (2)]],4)</f>
        <v>1705</v>
      </c>
      <c r="H249" s="5" t="s">
        <v>1017</v>
      </c>
      <c r="I249" s="5" t="str">
        <f>LEFT(الصنف[[#This Row],[تصنيف فرعي (1)]],2)</f>
        <v>17</v>
      </c>
      <c r="J249" s="1" t="s">
        <v>905</v>
      </c>
      <c r="K249" s="1">
        <f>VLOOKUP(الصنف[[#This Row],[وحده القياس]],$S$4:$T$67,2,TRUE)</f>
        <v>7</v>
      </c>
      <c r="L249" s="1" t="s">
        <v>681</v>
      </c>
      <c r="M249" s="1">
        <v>5000</v>
      </c>
      <c r="N249" s="6" t="s">
        <v>678</v>
      </c>
      <c r="O249" s="7"/>
      <c r="P249" s="9">
        <f>IF(الصنف[[#This Row],[وحده المكونات]]="جرام",1,0)</f>
        <v>1</v>
      </c>
    </row>
    <row r="250" spans="2:16" ht="20.100000000000001" customHeight="1" x14ac:dyDescent="0.2">
      <c r="B250" s="4">
        <v>248</v>
      </c>
      <c r="C250" s="4">
        <v>1705023</v>
      </c>
      <c r="D250" s="2" t="s">
        <v>832</v>
      </c>
      <c r="E250" s="2" t="s">
        <v>611</v>
      </c>
      <c r="G250" s="1" t="str">
        <f>LEFT(الصنف[[#This Row],[تصنيف فرعي (2)]],4)</f>
        <v>1705</v>
      </c>
      <c r="H250" s="5" t="s">
        <v>1017</v>
      </c>
      <c r="I250" s="5" t="str">
        <f>LEFT(الصنف[[#This Row],[تصنيف فرعي (1)]],2)</f>
        <v>17</v>
      </c>
      <c r="J250" s="1" t="s">
        <v>905</v>
      </c>
      <c r="K250" s="1">
        <f>VLOOKUP(الصنف[[#This Row],[وحده القياس]],$S$4:$T$67,2,TRUE)</f>
        <v>7</v>
      </c>
      <c r="L250" s="1" t="s">
        <v>681</v>
      </c>
      <c r="M250" s="1">
        <v>5000</v>
      </c>
      <c r="N250" s="6" t="s">
        <v>678</v>
      </c>
      <c r="O250" s="7"/>
      <c r="P250" s="9">
        <f>IF(الصنف[[#This Row],[وحده المكونات]]="جرام",1,0)</f>
        <v>1</v>
      </c>
    </row>
    <row r="251" spans="2:16" ht="20.100000000000001" customHeight="1" x14ac:dyDescent="0.2">
      <c r="B251" s="4">
        <v>249</v>
      </c>
      <c r="C251" s="4">
        <v>1705024</v>
      </c>
      <c r="D251" s="2" t="s">
        <v>833</v>
      </c>
      <c r="E251" s="2" t="s">
        <v>682</v>
      </c>
      <c r="G251" s="1" t="str">
        <f>LEFT(الصنف[[#This Row],[تصنيف فرعي (2)]],4)</f>
        <v>1705</v>
      </c>
      <c r="H251" s="5" t="s">
        <v>1017</v>
      </c>
      <c r="I251" s="5" t="str">
        <f>LEFT(الصنف[[#This Row],[تصنيف فرعي (1)]],2)</f>
        <v>17</v>
      </c>
      <c r="J251" s="1" t="s">
        <v>905</v>
      </c>
      <c r="K251" s="1">
        <f>VLOOKUP(الصنف[[#This Row],[وحده القياس]],$S$4:$T$67,2,TRUE)</f>
        <v>7</v>
      </c>
      <c r="L251" s="1" t="s">
        <v>681</v>
      </c>
      <c r="M251" s="1">
        <v>5000</v>
      </c>
      <c r="N251" s="6" t="s">
        <v>678</v>
      </c>
      <c r="O251" s="7"/>
      <c r="P251" s="9">
        <f>IF(الصنف[[#This Row],[وحده المكونات]]="جرام",1,0)</f>
        <v>1</v>
      </c>
    </row>
    <row r="252" spans="2:16" ht="20.100000000000001" customHeight="1" x14ac:dyDescent="0.2">
      <c r="B252" s="4">
        <v>250</v>
      </c>
      <c r="C252" s="4">
        <v>1705025</v>
      </c>
      <c r="D252" s="2" t="s">
        <v>839</v>
      </c>
      <c r="E252" s="2" t="s">
        <v>609</v>
      </c>
      <c r="G252" s="1" t="str">
        <f>LEFT(الصنف[[#This Row],[تصنيف فرعي (2)]],4)</f>
        <v>1705</v>
      </c>
      <c r="H252" s="5" t="s">
        <v>1017</v>
      </c>
      <c r="I252" s="5" t="str">
        <f>LEFT(الصنف[[#This Row],[تصنيف فرعي (1)]],2)</f>
        <v>17</v>
      </c>
      <c r="J252" s="1" t="s">
        <v>905</v>
      </c>
      <c r="K252" s="1">
        <f>VLOOKUP(الصنف[[#This Row],[وحده القياس]],$S$4:$T$67,2,TRUE)</f>
        <v>7</v>
      </c>
      <c r="L252" s="1" t="s">
        <v>681</v>
      </c>
      <c r="M252" s="1">
        <v>5000</v>
      </c>
      <c r="N252" s="6" t="s">
        <v>678</v>
      </c>
      <c r="O252" s="7"/>
      <c r="P252" s="9">
        <f>IF(الصنف[[#This Row],[وحده المكونات]]="جرام",1,0)</f>
        <v>1</v>
      </c>
    </row>
    <row r="253" spans="2:16" ht="20.100000000000001" customHeight="1" x14ac:dyDescent="0.2">
      <c r="B253" s="4">
        <v>251</v>
      </c>
      <c r="C253" s="4">
        <v>1705026</v>
      </c>
      <c r="D253" s="2" t="s">
        <v>834</v>
      </c>
      <c r="E253" s="2" t="s">
        <v>608</v>
      </c>
      <c r="G253" s="1" t="str">
        <f>LEFT(الصنف[[#This Row],[تصنيف فرعي (2)]],4)</f>
        <v>1705</v>
      </c>
      <c r="H253" s="5" t="s">
        <v>1017</v>
      </c>
      <c r="I253" s="5" t="str">
        <f>LEFT(الصنف[[#This Row],[تصنيف فرعي (1)]],2)</f>
        <v>17</v>
      </c>
      <c r="J253" s="1" t="s">
        <v>905</v>
      </c>
      <c r="K253" s="1">
        <f>VLOOKUP(الصنف[[#This Row],[وحده القياس]],$S$4:$T$67,2,TRUE)</f>
        <v>7</v>
      </c>
      <c r="L253" s="1" t="s">
        <v>681</v>
      </c>
      <c r="M253" s="1">
        <v>5000</v>
      </c>
      <c r="N253" s="6" t="s">
        <v>678</v>
      </c>
      <c r="O253" s="7"/>
      <c r="P253" s="9">
        <f>IF(الصنف[[#This Row],[وحده المكونات]]="جرام",1,0)</f>
        <v>1</v>
      </c>
    </row>
    <row r="254" spans="2:16" ht="20.100000000000001" customHeight="1" x14ac:dyDescent="0.2">
      <c r="B254" s="4">
        <v>252</v>
      </c>
      <c r="C254" s="4">
        <v>1705027</v>
      </c>
      <c r="D254" s="2" t="s">
        <v>835</v>
      </c>
      <c r="E254" s="2" t="s">
        <v>598</v>
      </c>
      <c r="G254" s="1" t="str">
        <f>LEFT(الصنف[[#This Row],[تصنيف فرعي (2)]],4)</f>
        <v>1705</v>
      </c>
      <c r="H254" s="5" t="s">
        <v>1017</v>
      </c>
      <c r="I254" s="5" t="str">
        <f>LEFT(الصنف[[#This Row],[تصنيف فرعي (1)]],2)</f>
        <v>17</v>
      </c>
      <c r="J254" s="1" t="s">
        <v>905</v>
      </c>
      <c r="K254" s="1">
        <f>VLOOKUP(الصنف[[#This Row],[وحده القياس]],$S$4:$T$67,2,TRUE)</f>
        <v>7</v>
      </c>
      <c r="L254" s="1" t="s">
        <v>681</v>
      </c>
      <c r="M254" s="1">
        <v>5000</v>
      </c>
      <c r="N254" s="6" t="s">
        <v>678</v>
      </c>
      <c r="O254" s="7"/>
      <c r="P254" s="9">
        <f>IF(الصنف[[#This Row],[وحده المكونات]]="جرام",1,0)</f>
        <v>1</v>
      </c>
    </row>
    <row r="255" spans="2:16" ht="20.100000000000001" customHeight="1" x14ac:dyDescent="0.2">
      <c r="B255" s="4">
        <v>253</v>
      </c>
      <c r="C255" s="4">
        <v>1705028</v>
      </c>
      <c r="D255" s="2" t="s">
        <v>836</v>
      </c>
      <c r="E255" s="2" t="s">
        <v>612</v>
      </c>
      <c r="G255" s="1" t="str">
        <f>LEFT(الصنف[[#This Row],[تصنيف فرعي (2)]],4)</f>
        <v>1705</v>
      </c>
      <c r="H255" s="5" t="s">
        <v>1017</v>
      </c>
      <c r="I255" s="5" t="str">
        <f>LEFT(الصنف[[#This Row],[تصنيف فرعي (1)]],2)</f>
        <v>17</v>
      </c>
      <c r="J255" s="1" t="s">
        <v>905</v>
      </c>
      <c r="K255" s="1">
        <f>VLOOKUP(الصنف[[#This Row],[وحده القياس]],$S$4:$T$67,2,TRUE)</f>
        <v>7</v>
      </c>
      <c r="L255" s="1" t="s">
        <v>681</v>
      </c>
      <c r="M255" s="1">
        <v>5000</v>
      </c>
      <c r="N255" s="6" t="s">
        <v>678</v>
      </c>
      <c r="O255" s="7"/>
      <c r="P255" s="9">
        <f>IF(الصنف[[#This Row],[وحده المكونات]]="جرام",1,0)</f>
        <v>1</v>
      </c>
    </row>
    <row r="256" spans="2:16" ht="20.100000000000001" customHeight="1" x14ac:dyDescent="0.2">
      <c r="B256" s="4">
        <v>254</v>
      </c>
      <c r="C256" s="4">
        <v>1705029</v>
      </c>
      <c r="D256" s="2" t="s">
        <v>837</v>
      </c>
      <c r="E256" s="2" t="s">
        <v>607</v>
      </c>
      <c r="G256" s="1" t="str">
        <f>LEFT(الصنف[[#This Row],[تصنيف فرعي (2)]],4)</f>
        <v>1705</v>
      </c>
      <c r="H256" s="5" t="s">
        <v>1017</v>
      </c>
      <c r="I256" s="5" t="str">
        <f>LEFT(الصنف[[#This Row],[تصنيف فرعي (1)]],2)</f>
        <v>17</v>
      </c>
      <c r="J256" s="1" t="s">
        <v>905</v>
      </c>
      <c r="K256" s="1">
        <f>VLOOKUP(الصنف[[#This Row],[وحده القياس]],$S$4:$T$67,2,TRUE)</f>
        <v>7</v>
      </c>
      <c r="L256" s="1" t="s">
        <v>681</v>
      </c>
      <c r="M256" s="1">
        <v>5000</v>
      </c>
      <c r="N256" s="6" t="s">
        <v>678</v>
      </c>
      <c r="O256" s="7"/>
      <c r="P256" s="9">
        <f>IF(الصنف[[#This Row],[وحده المكونات]]="جرام",1,0)</f>
        <v>1</v>
      </c>
    </row>
    <row r="257" spans="2:16" ht="20.100000000000001" customHeight="1" x14ac:dyDescent="0.2">
      <c r="B257" s="4">
        <v>255</v>
      </c>
      <c r="C257" s="4">
        <v>1705030</v>
      </c>
      <c r="D257" s="2" t="s">
        <v>838</v>
      </c>
      <c r="E257" s="2" t="s">
        <v>616</v>
      </c>
      <c r="G257" s="1" t="str">
        <f>LEFT(الصنف[[#This Row],[تصنيف فرعي (2)]],4)</f>
        <v>1705</v>
      </c>
      <c r="H257" s="5" t="s">
        <v>1017</v>
      </c>
      <c r="I257" s="5" t="str">
        <f>LEFT(الصنف[[#This Row],[تصنيف فرعي (1)]],2)</f>
        <v>17</v>
      </c>
      <c r="J257" s="1" t="s">
        <v>905</v>
      </c>
      <c r="K257" s="1">
        <f>VLOOKUP(الصنف[[#This Row],[وحده القياس]],$S$4:$T$67,2,TRUE)</f>
        <v>7</v>
      </c>
      <c r="L257" s="1" t="s">
        <v>681</v>
      </c>
      <c r="M257" s="1">
        <v>5000</v>
      </c>
      <c r="N257" s="6" t="s">
        <v>678</v>
      </c>
      <c r="O257" s="7"/>
      <c r="P257" s="9">
        <f>IF(الصنف[[#This Row],[وحده المكونات]]="جرام",1,0)</f>
        <v>1</v>
      </c>
    </row>
    <row r="258" spans="2:16" ht="20.100000000000001" customHeight="1" x14ac:dyDescent="0.2">
      <c r="B258" s="4">
        <v>256</v>
      </c>
      <c r="C258" s="4">
        <v>1801001</v>
      </c>
      <c r="D258" s="2" t="s">
        <v>626</v>
      </c>
      <c r="E258" s="2" t="s">
        <v>626</v>
      </c>
      <c r="G258" s="1" t="str">
        <f>LEFT(الصنف[[#This Row],[تصنيف فرعي (2)]],4)</f>
        <v>1801</v>
      </c>
      <c r="H258" s="5" t="s">
        <v>1018</v>
      </c>
      <c r="I258" s="5" t="str">
        <f>LEFT(الصنف[[#This Row],[تصنيف فرعي (1)]],2)</f>
        <v>18</v>
      </c>
      <c r="J258" s="1" t="s">
        <v>667</v>
      </c>
      <c r="K258" s="1">
        <f>VLOOKUP(الصنف[[#This Row],[وحده القياس]],$S$4:$T$67,2,TRUE)</f>
        <v>12</v>
      </c>
      <c r="L258" s="1" t="s">
        <v>778</v>
      </c>
      <c r="M258" s="1">
        <v>5000</v>
      </c>
      <c r="N258" s="6" t="s">
        <v>678</v>
      </c>
      <c r="O258" s="7"/>
      <c r="P258" s="9">
        <f>IF(الصنف[[#This Row],[وحده المكونات]]="جرام",1,0)</f>
        <v>1</v>
      </c>
    </row>
    <row r="259" spans="2:16" ht="20.100000000000001" customHeight="1" x14ac:dyDescent="0.2">
      <c r="B259" s="4">
        <v>257</v>
      </c>
      <c r="C259" s="4">
        <v>1801002</v>
      </c>
      <c r="D259" s="2" t="s">
        <v>393</v>
      </c>
      <c r="E259" s="2" t="s">
        <v>393</v>
      </c>
      <c r="G259" s="1" t="str">
        <f>LEFT(الصنف[[#This Row],[تصنيف فرعي (2)]],4)</f>
        <v>1801</v>
      </c>
      <c r="H259" s="5" t="s">
        <v>1018</v>
      </c>
      <c r="I259" s="5" t="str">
        <f>LEFT(الصنف[[#This Row],[تصنيف فرعي (1)]],2)</f>
        <v>18</v>
      </c>
      <c r="J259" s="1" t="s">
        <v>667</v>
      </c>
      <c r="K259" s="1">
        <f>VLOOKUP(الصنف[[#This Row],[وحده القياس]],$S$4:$T$67,2,TRUE)</f>
        <v>60</v>
      </c>
      <c r="L259" s="1" t="s">
        <v>686</v>
      </c>
      <c r="M259" s="1">
        <v>1000</v>
      </c>
      <c r="N259" s="6" t="s">
        <v>678</v>
      </c>
      <c r="O259" s="7"/>
      <c r="P259" s="9">
        <f>IF(الصنف[[#This Row],[وحده المكونات]]="جرام",1,0)</f>
        <v>1</v>
      </c>
    </row>
    <row r="260" spans="2:16" ht="20.100000000000001" customHeight="1" x14ac:dyDescent="0.2">
      <c r="B260" s="4">
        <v>258</v>
      </c>
      <c r="C260" s="4">
        <v>1801003</v>
      </c>
      <c r="D260" s="2" t="s">
        <v>15</v>
      </c>
      <c r="E260" s="2" t="s">
        <v>15</v>
      </c>
      <c r="G260" s="1" t="str">
        <f>LEFT(الصنف[[#This Row],[تصنيف فرعي (2)]],4)</f>
        <v>1801</v>
      </c>
      <c r="H260" s="5" t="s">
        <v>1018</v>
      </c>
      <c r="I260" s="5" t="str">
        <f>LEFT(الصنف[[#This Row],[تصنيف فرعي (1)]],2)</f>
        <v>18</v>
      </c>
      <c r="J260" s="1" t="s">
        <v>667</v>
      </c>
      <c r="K260" s="1">
        <f>VLOOKUP(الصنف[[#This Row],[وحده القياس]],$S$4:$T$67,2,TRUE)</f>
        <v>60</v>
      </c>
      <c r="L260" s="1" t="s">
        <v>686</v>
      </c>
      <c r="M260" s="1">
        <v>1000</v>
      </c>
      <c r="N260" s="6" t="s">
        <v>678</v>
      </c>
      <c r="O260" s="7"/>
      <c r="P260" s="9">
        <f>IF(الصنف[[#This Row],[وحده المكونات]]="جرام",1,0)</f>
        <v>1</v>
      </c>
    </row>
    <row r="261" spans="2:16" ht="20.100000000000001" customHeight="1" x14ac:dyDescent="0.2">
      <c r="B261" s="4">
        <v>259</v>
      </c>
      <c r="C261" s="4">
        <v>1801004</v>
      </c>
      <c r="D261" s="2" t="s">
        <v>32</v>
      </c>
      <c r="E261" s="2" t="s">
        <v>32</v>
      </c>
      <c r="G261" s="1" t="str">
        <f>LEFT(الصنف[[#This Row],[تصنيف فرعي (2)]],4)</f>
        <v>1801</v>
      </c>
      <c r="H261" s="5" t="s">
        <v>1018</v>
      </c>
      <c r="I261" s="5" t="str">
        <f>LEFT(الصنف[[#This Row],[تصنيف فرعي (1)]],2)</f>
        <v>18</v>
      </c>
      <c r="J261" s="1" t="s">
        <v>667</v>
      </c>
      <c r="K261" s="1">
        <f>VLOOKUP(الصنف[[#This Row],[وحده القياس]],$S$4:$T$67,2,TRUE)</f>
        <v>54</v>
      </c>
      <c r="L261" s="1" t="s">
        <v>949</v>
      </c>
      <c r="M261" s="1">
        <v>20</v>
      </c>
      <c r="N261" s="6" t="s">
        <v>678</v>
      </c>
      <c r="O261" s="7"/>
      <c r="P261" s="9">
        <f>IF(الصنف[[#This Row],[وحده المكونات]]="جرام",1,0)</f>
        <v>1</v>
      </c>
    </row>
    <row r="262" spans="2:16" ht="20.100000000000001" customHeight="1" x14ac:dyDescent="0.2">
      <c r="B262" s="4">
        <v>260</v>
      </c>
      <c r="C262" s="4">
        <v>1801005</v>
      </c>
      <c r="D262" s="2" t="s">
        <v>940</v>
      </c>
      <c r="E262" s="2" t="s">
        <v>660</v>
      </c>
      <c r="G262" s="1" t="str">
        <f>LEFT(الصنف[[#This Row],[تصنيف فرعي (2)]],4)</f>
        <v>1801</v>
      </c>
      <c r="H262" s="5" t="s">
        <v>1018</v>
      </c>
      <c r="I262" s="5" t="str">
        <f>LEFT(الصنف[[#This Row],[تصنيف فرعي (1)]],2)</f>
        <v>18</v>
      </c>
      <c r="J262" s="1" t="s">
        <v>667</v>
      </c>
      <c r="K262" s="1">
        <f>VLOOKUP(الصنف[[#This Row],[وحده القياس]],$S$4:$T$67,2,TRUE)</f>
        <v>34</v>
      </c>
      <c r="L262" s="1" t="s">
        <v>945</v>
      </c>
      <c r="M262" s="1">
        <v>1000</v>
      </c>
      <c r="N262" s="6" t="s">
        <v>678</v>
      </c>
      <c r="O262" s="7"/>
      <c r="P262" s="9">
        <f>IF(الصنف[[#This Row],[وحده المكونات]]="جرام",1,0)</f>
        <v>1</v>
      </c>
    </row>
    <row r="263" spans="2:16" ht="20.100000000000001" customHeight="1" x14ac:dyDescent="0.2">
      <c r="B263" s="4">
        <v>261</v>
      </c>
      <c r="C263" s="4">
        <v>1801006</v>
      </c>
      <c r="D263" s="2" t="s">
        <v>16</v>
      </c>
      <c r="E263" s="2" t="s">
        <v>16</v>
      </c>
      <c r="G263" s="1" t="str">
        <f>LEFT(الصنف[[#This Row],[تصنيف فرعي (2)]],4)</f>
        <v>1801</v>
      </c>
      <c r="H263" s="5" t="s">
        <v>1018</v>
      </c>
      <c r="I263" s="5" t="str">
        <f>LEFT(الصنف[[#This Row],[تصنيف فرعي (1)]],2)</f>
        <v>18</v>
      </c>
      <c r="J263" s="1" t="s">
        <v>667</v>
      </c>
      <c r="K263" s="1">
        <f>VLOOKUP(الصنف[[#This Row],[وحده القياس]],$S$4:$T$67,2,TRUE)</f>
        <v>60</v>
      </c>
      <c r="L263" s="1" t="s">
        <v>686</v>
      </c>
      <c r="M263" s="1">
        <v>1000</v>
      </c>
      <c r="N263" s="6" t="s">
        <v>678</v>
      </c>
      <c r="O263" s="7"/>
      <c r="P263" s="9">
        <f>IF(الصنف[[#This Row],[وحده المكونات]]="جرام",1,0)</f>
        <v>1</v>
      </c>
    </row>
    <row r="264" spans="2:16" ht="20.100000000000001" customHeight="1" x14ac:dyDescent="0.2">
      <c r="B264" s="4">
        <v>262</v>
      </c>
      <c r="C264" s="4">
        <v>1801007</v>
      </c>
      <c r="D264" s="2" t="s">
        <v>6</v>
      </c>
      <c r="E264" s="2" t="s">
        <v>6</v>
      </c>
      <c r="G264" s="1" t="str">
        <f>LEFT(الصنف[[#This Row],[تصنيف فرعي (2)]],4)</f>
        <v>1801</v>
      </c>
      <c r="H264" s="5" t="s">
        <v>1018</v>
      </c>
      <c r="I264" s="5" t="str">
        <f>LEFT(الصنف[[#This Row],[تصنيف فرعي (1)]],2)</f>
        <v>18</v>
      </c>
      <c r="J264" s="1" t="s">
        <v>667</v>
      </c>
      <c r="K264" s="1">
        <f>VLOOKUP(الصنف[[#This Row],[وحده القياس]],$S$4:$T$67,2,TRUE)</f>
        <v>60</v>
      </c>
      <c r="L264" s="1" t="s">
        <v>686</v>
      </c>
      <c r="M264" s="1">
        <v>1000</v>
      </c>
      <c r="N264" s="6" t="s">
        <v>678</v>
      </c>
      <c r="O264" s="7"/>
      <c r="P264" s="9">
        <f>IF(الصنف[[#This Row],[وحده المكونات]]="جرام",1,0)</f>
        <v>1</v>
      </c>
    </row>
    <row r="265" spans="2:16" ht="20.100000000000001" customHeight="1" x14ac:dyDescent="0.2">
      <c r="B265" s="4">
        <v>263</v>
      </c>
      <c r="C265" s="4">
        <v>1801008</v>
      </c>
      <c r="D265" s="2" t="s">
        <v>7</v>
      </c>
      <c r="E265" s="2" t="s">
        <v>7</v>
      </c>
      <c r="G265" s="1" t="str">
        <f>LEFT(الصنف[[#This Row],[تصنيف فرعي (2)]],4)</f>
        <v>1801</v>
      </c>
      <c r="H265" s="5" t="s">
        <v>1018</v>
      </c>
      <c r="I265" s="5" t="str">
        <f>LEFT(الصنف[[#This Row],[تصنيف فرعي (1)]],2)</f>
        <v>18</v>
      </c>
      <c r="J265" s="1" t="s">
        <v>667</v>
      </c>
      <c r="K265" s="1">
        <f>VLOOKUP(الصنف[[#This Row],[وحده القياس]],$S$4:$T$67,2,TRUE)</f>
        <v>60</v>
      </c>
      <c r="L265" s="1" t="s">
        <v>686</v>
      </c>
      <c r="M265" s="1">
        <v>1000</v>
      </c>
      <c r="N265" s="6" t="s">
        <v>678</v>
      </c>
      <c r="O265" s="7"/>
      <c r="P265" s="9">
        <f>IF(الصنف[[#This Row],[وحده المكونات]]="جرام",1,0)</f>
        <v>1</v>
      </c>
    </row>
    <row r="266" spans="2:16" ht="20.100000000000001" customHeight="1" x14ac:dyDescent="0.2">
      <c r="B266" s="4">
        <v>264</v>
      </c>
      <c r="C266" s="4">
        <v>1801009</v>
      </c>
      <c r="D266" s="2" t="s">
        <v>8</v>
      </c>
      <c r="E266" s="2" t="s">
        <v>8</v>
      </c>
      <c r="G266" s="1" t="str">
        <f>LEFT(الصنف[[#This Row],[تصنيف فرعي (2)]],4)</f>
        <v>1801</v>
      </c>
      <c r="H266" s="5" t="s">
        <v>1018</v>
      </c>
      <c r="I266" s="5" t="str">
        <f>LEFT(الصنف[[#This Row],[تصنيف فرعي (1)]],2)</f>
        <v>18</v>
      </c>
      <c r="J266" s="1" t="s">
        <v>667</v>
      </c>
      <c r="K266" s="1">
        <f>VLOOKUP(الصنف[[#This Row],[وحده القياس]],$S$4:$T$67,2,TRUE)</f>
        <v>60</v>
      </c>
      <c r="L266" s="1" t="s">
        <v>686</v>
      </c>
      <c r="M266" s="1">
        <v>1000</v>
      </c>
      <c r="N266" s="6" t="s">
        <v>678</v>
      </c>
      <c r="O266" s="7"/>
      <c r="P266" s="9">
        <f>IF(الصنف[[#This Row],[وحده المكونات]]="جرام",1,0)</f>
        <v>1</v>
      </c>
    </row>
    <row r="267" spans="2:16" ht="20.100000000000001" customHeight="1" x14ac:dyDescent="0.2">
      <c r="B267" s="4">
        <v>265</v>
      </c>
      <c r="C267" s="4">
        <v>1801010</v>
      </c>
      <c r="D267" s="2" t="s">
        <v>17</v>
      </c>
      <c r="E267" s="2" t="s">
        <v>17</v>
      </c>
      <c r="G267" s="1" t="str">
        <f>LEFT(الصنف[[#This Row],[تصنيف فرعي (2)]],4)</f>
        <v>1801</v>
      </c>
      <c r="H267" s="5" t="s">
        <v>1018</v>
      </c>
      <c r="I267" s="5" t="str">
        <f>LEFT(الصنف[[#This Row],[تصنيف فرعي (1)]],2)</f>
        <v>18</v>
      </c>
      <c r="J267" s="1" t="s">
        <v>667</v>
      </c>
      <c r="K267" s="1">
        <f>VLOOKUP(الصنف[[#This Row],[وحده القياس]],$S$4:$T$67,2,TRUE)</f>
        <v>60</v>
      </c>
      <c r="L267" s="1" t="s">
        <v>686</v>
      </c>
      <c r="M267" s="1">
        <v>1000</v>
      </c>
      <c r="N267" s="6" t="s">
        <v>678</v>
      </c>
      <c r="O267" s="7"/>
      <c r="P267" s="9">
        <f>IF(الصنف[[#This Row],[وحده المكونات]]="جرام",1,0)</f>
        <v>1</v>
      </c>
    </row>
    <row r="268" spans="2:16" ht="20.100000000000001" customHeight="1" x14ac:dyDescent="0.2">
      <c r="B268" s="4">
        <v>266</v>
      </c>
      <c r="C268" s="4">
        <v>1801011</v>
      </c>
      <c r="D268" s="2" t="s">
        <v>398</v>
      </c>
      <c r="E268" s="2" t="s">
        <v>398</v>
      </c>
      <c r="G268" s="1" t="str">
        <f>LEFT(الصنف[[#This Row],[تصنيف فرعي (2)]],4)</f>
        <v>1801</v>
      </c>
      <c r="H268" s="5" t="s">
        <v>1018</v>
      </c>
      <c r="I268" s="5" t="str">
        <f>LEFT(الصنف[[#This Row],[تصنيف فرعي (1)]],2)</f>
        <v>18</v>
      </c>
      <c r="J268" s="1" t="s">
        <v>667</v>
      </c>
      <c r="K268" s="1">
        <f>VLOOKUP(الصنف[[#This Row],[وحده القياس]],$S$4:$T$67,2,TRUE)</f>
        <v>34</v>
      </c>
      <c r="L268" s="1" t="s">
        <v>945</v>
      </c>
      <c r="M268" s="1">
        <v>1000</v>
      </c>
      <c r="N268" s="6" t="s">
        <v>678</v>
      </c>
      <c r="O268" s="7"/>
      <c r="P268" s="9">
        <f>IF(الصنف[[#This Row],[وحده المكونات]]="جرام",1,0)</f>
        <v>1</v>
      </c>
    </row>
    <row r="269" spans="2:16" ht="20.100000000000001" customHeight="1" x14ac:dyDescent="0.2">
      <c r="B269" s="4">
        <v>267</v>
      </c>
      <c r="C269" s="4">
        <v>1801012</v>
      </c>
      <c r="D269" s="2" t="s">
        <v>392</v>
      </c>
      <c r="E269" s="2" t="s">
        <v>392</v>
      </c>
      <c r="G269" s="1" t="str">
        <f>LEFT(الصنف[[#This Row],[تصنيف فرعي (2)]],4)</f>
        <v>1801</v>
      </c>
      <c r="H269" s="5" t="s">
        <v>1018</v>
      </c>
      <c r="I269" s="5" t="str">
        <f>LEFT(الصنف[[#This Row],[تصنيف فرعي (1)]],2)</f>
        <v>18</v>
      </c>
      <c r="J269" s="1" t="s">
        <v>667</v>
      </c>
      <c r="K269" s="1">
        <f>VLOOKUP(الصنف[[#This Row],[وحده القياس]],$S$4:$T$67,2,TRUE)</f>
        <v>60</v>
      </c>
      <c r="L269" s="1" t="s">
        <v>686</v>
      </c>
      <c r="M269" s="1">
        <v>1000</v>
      </c>
      <c r="N269" s="6" t="s">
        <v>678</v>
      </c>
      <c r="O269" s="7"/>
      <c r="P269" s="9">
        <f>IF(الصنف[[#This Row],[وحده المكونات]]="جرام",1,0)</f>
        <v>1</v>
      </c>
    </row>
    <row r="270" spans="2:16" ht="20.100000000000001" customHeight="1" x14ac:dyDescent="0.2">
      <c r="B270" s="4">
        <v>268</v>
      </c>
      <c r="C270" s="4">
        <v>1801013</v>
      </c>
      <c r="D270" s="2" t="s">
        <v>13</v>
      </c>
      <c r="E270" s="2" t="s">
        <v>13</v>
      </c>
      <c r="G270" s="1" t="str">
        <f>LEFT(الصنف[[#This Row],[تصنيف فرعي (2)]],4)</f>
        <v>1801</v>
      </c>
      <c r="H270" s="5" t="s">
        <v>1018</v>
      </c>
      <c r="I270" s="5" t="str">
        <f>LEFT(الصنف[[#This Row],[تصنيف فرعي (1)]],2)</f>
        <v>18</v>
      </c>
      <c r="J270" s="1" t="s">
        <v>667</v>
      </c>
      <c r="K270" s="1">
        <f>VLOOKUP(الصنف[[#This Row],[وحده القياس]],$S$4:$T$67,2,TRUE)</f>
        <v>60</v>
      </c>
      <c r="L270" s="1" t="s">
        <v>686</v>
      </c>
      <c r="M270" s="1">
        <v>1000</v>
      </c>
      <c r="N270" s="6" t="s">
        <v>678</v>
      </c>
      <c r="O270" s="7"/>
      <c r="P270" s="9">
        <f>IF(الصنف[[#This Row],[وحده المكونات]]="جرام",1,0)</f>
        <v>1</v>
      </c>
    </row>
    <row r="271" spans="2:16" ht="20.100000000000001" customHeight="1" x14ac:dyDescent="0.2">
      <c r="B271" s="4">
        <v>269</v>
      </c>
      <c r="C271" s="4">
        <v>1801014</v>
      </c>
      <c r="D271" s="2" t="s">
        <v>9</v>
      </c>
      <c r="E271" s="2" t="s">
        <v>9</v>
      </c>
      <c r="G271" s="1" t="str">
        <f>LEFT(الصنف[[#This Row],[تصنيف فرعي (2)]],4)</f>
        <v>1801</v>
      </c>
      <c r="H271" s="5" t="s">
        <v>1018</v>
      </c>
      <c r="I271" s="5" t="str">
        <f>LEFT(الصنف[[#This Row],[تصنيف فرعي (1)]],2)</f>
        <v>18</v>
      </c>
      <c r="J271" s="1" t="s">
        <v>667</v>
      </c>
      <c r="K271" s="1">
        <f>VLOOKUP(الصنف[[#This Row],[وحده القياس]],$S$4:$T$67,2,TRUE)</f>
        <v>60</v>
      </c>
      <c r="L271" s="1" t="s">
        <v>686</v>
      </c>
      <c r="M271" s="1">
        <v>1000</v>
      </c>
      <c r="N271" s="6" t="s">
        <v>678</v>
      </c>
      <c r="O271" s="7"/>
      <c r="P271" s="9">
        <f>IF(الصنف[[#This Row],[وحده المكونات]]="جرام",1,0)</f>
        <v>1</v>
      </c>
    </row>
    <row r="272" spans="2:16" ht="20.100000000000001" customHeight="1" x14ac:dyDescent="0.2">
      <c r="B272" s="4">
        <v>270</v>
      </c>
      <c r="C272" s="4">
        <v>1801015</v>
      </c>
      <c r="D272" s="2" t="s">
        <v>4</v>
      </c>
      <c r="E272" s="2" t="s">
        <v>4</v>
      </c>
      <c r="G272" s="1" t="str">
        <f>LEFT(الصنف[[#This Row],[تصنيف فرعي (2)]],4)</f>
        <v>1801</v>
      </c>
      <c r="H272" s="5" t="s">
        <v>1018</v>
      </c>
      <c r="I272" s="5" t="str">
        <f>LEFT(الصنف[[#This Row],[تصنيف فرعي (1)]],2)</f>
        <v>18</v>
      </c>
      <c r="J272" s="1" t="s">
        <v>667</v>
      </c>
      <c r="K272" s="1">
        <f>VLOOKUP(الصنف[[#This Row],[وحده القياس]],$S$4:$T$67,2,TRUE)</f>
        <v>60</v>
      </c>
      <c r="L272" s="1" t="s">
        <v>686</v>
      </c>
      <c r="M272" s="1">
        <v>1000</v>
      </c>
      <c r="N272" s="6" t="s">
        <v>678</v>
      </c>
      <c r="O272" s="7"/>
      <c r="P272" s="9">
        <f>IF(الصنف[[#This Row],[وحده المكونات]]="جرام",1,0)</f>
        <v>1</v>
      </c>
    </row>
    <row r="273" spans="2:20" ht="20.100000000000001" customHeight="1" x14ac:dyDescent="0.2">
      <c r="B273" s="4">
        <v>271</v>
      </c>
      <c r="C273" s="4">
        <v>1801016</v>
      </c>
      <c r="D273" s="2" t="s">
        <v>3</v>
      </c>
      <c r="E273" s="2" t="s">
        <v>3</v>
      </c>
      <c r="G273" s="1" t="str">
        <f>LEFT(الصنف[[#This Row],[تصنيف فرعي (2)]],4)</f>
        <v>1801</v>
      </c>
      <c r="H273" s="5" t="s">
        <v>1018</v>
      </c>
      <c r="I273" s="5" t="str">
        <f>LEFT(الصنف[[#This Row],[تصنيف فرعي (1)]],2)</f>
        <v>18</v>
      </c>
      <c r="J273" s="1" t="s">
        <v>667</v>
      </c>
      <c r="K273" s="1">
        <f>VLOOKUP(الصنف[[#This Row],[وحده القياس]],$S$4:$T$67,2,TRUE)</f>
        <v>60</v>
      </c>
      <c r="L273" s="1" t="s">
        <v>686</v>
      </c>
      <c r="M273" s="1">
        <v>1000</v>
      </c>
      <c r="N273" s="6" t="s">
        <v>678</v>
      </c>
      <c r="O273" s="7"/>
      <c r="P273" s="9">
        <f>IF(الصنف[[#This Row],[وحده المكونات]]="جرام",1,0)</f>
        <v>1</v>
      </c>
    </row>
    <row r="274" spans="2:20" ht="20.100000000000001" customHeight="1" x14ac:dyDescent="0.2">
      <c r="B274" s="4">
        <v>272</v>
      </c>
      <c r="C274" s="4">
        <v>1801017</v>
      </c>
      <c r="D274" s="2" t="s">
        <v>10</v>
      </c>
      <c r="E274" s="2" t="s">
        <v>10</v>
      </c>
      <c r="G274" s="1" t="str">
        <f>LEFT(الصنف[[#This Row],[تصنيف فرعي (2)]],4)</f>
        <v>1801</v>
      </c>
      <c r="H274" s="5" t="s">
        <v>1018</v>
      </c>
      <c r="I274" s="5" t="str">
        <f>LEFT(الصنف[[#This Row],[تصنيف فرعي (1)]],2)</f>
        <v>18</v>
      </c>
      <c r="J274" s="1" t="s">
        <v>667</v>
      </c>
      <c r="K274" s="1">
        <f>VLOOKUP(الصنف[[#This Row],[وحده القياس]],$S$4:$T$67,2,TRUE)</f>
        <v>60</v>
      </c>
      <c r="L274" s="1" t="s">
        <v>686</v>
      </c>
      <c r="M274" s="1">
        <v>1000</v>
      </c>
      <c r="N274" s="6" t="s">
        <v>678</v>
      </c>
      <c r="O274" s="7"/>
      <c r="P274" s="9">
        <f>IF(الصنف[[#This Row],[وحده المكونات]]="جرام",1,0)</f>
        <v>1</v>
      </c>
    </row>
    <row r="275" spans="2:20" ht="20.100000000000001" customHeight="1" x14ac:dyDescent="0.2">
      <c r="B275" s="4">
        <v>273</v>
      </c>
      <c r="C275" s="4">
        <v>1801018</v>
      </c>
      <c r="D275" s="2" t="s">
        <v>11</v>
      </c>
      <c r="E275" s="2" t="s">
        <v>11</v>
      </c>
      <c r="G275" s="1" t="str">
        <f>LEFT(الصنف[[#This Row],[تصنيف فرعي (2)]],4)</f>
        <v>1801</v>
      </c>
      <c r="H275" s="5" t="s">
        <v>1018</v>
      </c>
      <c r="I275" s="5" t="str">
        <f>LEFT(الصنف[[#This Row],[تصنيف فرعي (1)]],2)</f>
        <v>18</v>
      </c>
      <c r="J275" s="1" t="s">
        <v>667</v>
      </c>
      <c r="K275" s="1">
        <f>VLOOKUP(الصنف[[#This Row],[وحده القياس]],$S$4:$T$67,2,TRUE)</f>
        <v>60</v>
      </c>
      <c r="L275" s="1" t="s">
        <v>686</v>
      </c>
      <c r="M275" s="1">
        <v>1000</v>
      </c>
      <c r="N275" s="6" t="s">
        <v>678</v>
      </c>
      <c r="O275" s="7"/>
      <c r="P275" s="9">
        <f>IF(الصنف[[#This Row],[وحده المكونات]]="جرام",1,0)</f>
        <v>1</v>
      </c>
    </row>
    <row r="276" spans="2:20" ht="20.100000000000001" customHeight="1" x14ac:dyDescent="0.2">
      <c r="B276" s="4">
        <v>274</v>
      </c>
      <c r="C276" s="4">
        <v>1801019</v>
      </c>
      <c r="D276" s="2" t="s">
        <v>12</v>
      </c>
      <c r="E276" s="2" t="s">
        <v>12</v>
      </c>
      <c r="G276" s="1" t="str">
        <f>LEFT(الصنف[[#This Row],[تصنيف فرعي (2)]],4)</f>
        <v>1801</v>
      </c>
      <c r="H276" s="5" t="s">
        <v>1018</v>
      </c>
      <c r="I276" s="5" t="str">
        <f>LEFT(الصنف[[#This Row],[تصنيف فرعي (1)]],2)</f>
        <v>18</v>
      </c>
      <c r="J276" s="1" t="s">
        <v>667</v>
      </c>
      <c r="K276" s="1">
        <f>VLOOKUP(الصنف[[#This Row],[وحده القياس]],$S$4:$T$67,2,TRUE)</f>
        <v>60</v>
      </c>
      <c r="L276" s="1" t="s">
        <v>686</v>
      </c>
      <c r="M276" s="1">
        <v>1000</v>
      </c>
      <c r="N276" s="6" t="s">
        <v>678</v>
      </c>
      <c r="O276" s="7"/>
      <c r="P276" s="9">
        <f>IF(الصنف[[#This Row],[وحده المكونات]]="جرام",1,0)</f>
        <v>1</v>
      </c>
    </row>
    <row r="277" spans="2:20" ht="20.100000000000001" customHeight="1" x14ac:dyDescent="0.2">
      <c r="B277" s="4">
        <v>275</v>
      </c>
      <c r="C277" s="4">
        <v>1801020</v>
      </c>
      <c r="D277" s="2" t="s">
        <v>513</v>
      </c>
      <c r="E277" s="2" t="s">
        <v>513</v>
      </c>
      <c r="G277" s="1" t="str">
        <f>LEFT(الصنف[[#This Row],[تصنيف فرعي (2)]],4)</f>
        <v>1801</v>
      </c>
      <c r="H277" s="5" t="s">
        <v>1018</v>
      </c>
      <c r="I277" s="5" t="str">
        <f>LEFT(الصنف[[#This Row],[تصنيف فرعي (1)]],2)</f>
        <v>18</v>
      </c>
      <c r="J277" s="1" t="s">
        <v>667</v>
      </c>
      <c r="K277" s="1">
        <f>VLOOKUP(الصنف[[#This Row],[وحده القياس]],$S$4:$T$67,2,TRUE)</f>
        <v>60</v>
      </c>
      <c r="L277" s="1" t="s">
        <v>686</v>
      </c>
      <c r="M277" s="1">
        <v>1000</v>
      </c>
      <c r="N277" s="6" t="s">
        <v>678</v>
      </c>
      <c r="O277" s="7"/>
      <c r="P277" s="9">
        <f>IF(الصنف[[#This Row],[وحده المكونات]]="جرام",1,0)</f>
        <v>1</v>
      </c>
    </row>
    <row r="278" spans="2:20" ht="20.100000000000001" customHeight="1" x14ac:dyDescent="0.2">
      <c r="B278" s="4">
        <v>276</v>
      </c>
      <c r="C278" s="4">
        <v>1801021</v>
      </c>
      <c r="D278" s="2" t="s">
        <v>397</v>
      </c>
      <c r="E278" s="2" t="s">
        <v>397</v>
      </c>
      <c r="G278" s="1" t="str">
        <f>LEFT(الصنف[[#This Row],[تصنيف فرعي (2)]],4)</f>
        <v>1801</v>
      </c>
      <c r="H278" s="5" t="s">
        <v>1018</v>
      </c>
      <c r="I278" s="5" t="str">
        <f>LEFT(الصنف[[#This Row],[تصنيف فرعي (1)]],2)</f>
        <v>18</v>
      </c>
      <c r="J278" s="1" t="s">
        <v>667</v>
      </c>
      <c r="K278" s="1">
        <f>VLOOKUP(الصنف[[#This Row],[وحده القياس]],$S$4:$T$67,2,TRUE)</f>
        <v>34</v>
      </c>
      <c r="L278" s="1" t="s">
        <v>945</v>
      </c>
      <c r="M278" s="1">
        <v>1000</v>
      </c>
      <c r="N278" s="6" t="s">
        <v>678</v>
      </c>
      <c r="O278" s="7"/>
      <c r="P278" s="9">
        <f>IF(الصنف[[#This Row],[وحده المكونات]]="جرام",1,0)</f>
        <v>1</v>
      </c>
    </row>
    <row r="279" spans="2:20" ht="20.100000000000001" customHeight="1" x14ac:dyDescent="0.2">
      <c r="B279" s="4">
        <v>277</v>
      </c>
      <c r="C279" s="4">
        <v>1801022</v>
      </c>
      <c r="D279" s="2" t="s">
        <v>22</v>
      </c>
      <c r="E279" s="2" t="s">
        <v>22</v>
      </c>
      <c r="G279" s="1" t="str">
        <f>LEFT(الصنف[[#This Row],[تصنيف فرعي (2)]],4)</f>
        <v>1801</v>
      </c>
      <c r="H279" s="5" t="s">
        <v>1018</v>
      </c>
      <c r="I279" s="5" t="str">
        <f>LEFT(الصنف[[#This Row],[تصنيف فرعي (1)]],2)</f>
        <v>18</v>
      </c>
      <c r="J279" s="1" t="s">
        <v>667</v>
      </c>
      <c r="K279" s="1">
        <f>VLOOKUP(الصنف[[#This Row],[وحده القياس]],$S$4:$T$67,2,TRUE)</f>
        <v>34</v>
      </c>
      <c r="L279" s="1" t="s">
        <v>945</v>
      </c>
      <c r="M279" s="1">
        <v>1000</v>
      </c>
      <c r="N279" s="6" t="s">
        <v>678</v>
      </c>
      <c r="O279" s="7"/>
      <c r="P279" s="9">
        <f>IF(الصنف[[#This Row],[وحده المكونات]]="جرام",1,0)</f>
        <v>1</v>
      </c>
    </row>
    <row r="280" spans="2:20" ht="20.100000000000001" customHeight="1" x14ac:dyDescent="0.2">
      <c r="B280" s="4">
        <v>278</v>
      </c>
      <c r="C280" s="4">
        <v>1801023</v>
      </c>
      <c r="D280" s="2" t="s">
        <v>330</v>
      </c>
      <c r="E280" s="2" t="s">
        <v>330</v>
      </c>
      <c r="G280" s="1" t="str">
        <f>LEFT(الصنف[[#This Row],[تصنيف فرعي (2)]],4)</f>
        <v>1801</v>
      </c>
      <c r="H280" s="5" t="s">
        <v>1018</v>
      </c>
      <c r="I280" s="5" t="str">
        <f>LEFT(الصنف[[#This Row],[تصنيف فرعي (1)]],2)</f>
        <v>18</v>
      </c>
      <c r="J280" s="1" t="s">
        <v>667</v>
      </c>
      <c r="K280" s="1">
        <f>VLOOKUP(الصنف[[#This Row],[وحده القياس]],$S$4:$T$67,2,TRUE)</f>
        <v>55</v>
      </c>
      <c r="L280" s="1" t="s">
        <v>950</v>
      </c>
      <c r="M280" s="1">
        <v>200</v>
      </c>
      <c r="N280" s="6" t="s">
        <v>678</v>
      </c>
      <c r="O280" s="7"/>
      <c r="P280" s="9">
        <f>IF(الصنف[[#This Row],[وحده المكونات]]="جرام",1,0)</f>
        <v>1</v>
      </c>
    </row>
    <row r="281" spans="2:20" ht="20.100000000000001" customHeight="1" x14ac:dyDescent="0.2">
      <c r="B281" s="4">
        <v>279</v>
      </c>
      <c r="C281" s="4">
        <v>1801024</v>
      </c>
      <c r="D281" s="2" t="s">
        <v>395</v>
      </c>
      <c r="E281" s="2" t="s">
        <v>395</v>
      </c>
      <c r="G281" s="1" t="str">
        <f>LEFT(الصنف[[#This Row],[تصنيف فرعي (2)]],4)</f>
        <v>1801</v>
      </c>
      <c r="H281" s="5" t="s">
        <v>1018</v>
      </c>
      <c r="I281" s="5" t="str">
        <f>LEFT(الصنف[[#This Row],[تصنيف فرعي (1)]],2)</f>
        <v>18</v>
      </c>
      <c r="J281" s="1" t="s">
        <v>667</v>
      </c>
      <c r="K281" s="1">
        <f>VLOOKUP(الصنف[[#This Row],[وحده القياس]],$S$4:$T$67,2,TRUE)</f>
        <v>60</v>
      </c>
      <c r="L281" s="1" t="s">
        <v>686</v>
      </c>
      <c r="M281" s="1">
        <v>1000</v>
      </c>
      <c r="N281" s="6" t="s">
        <v>678</v>
      </c>
      <c r="O281" s="7"/>
      <c r="P281" s="9">
        <f>IF(الصنف[[#This Row],[وحده المكونات]]="جرام",1,0)</f>
        <v>1</v>
      </c>
    </row>
    <row r="282" spans="2:20" ht="20.100000000000001" customHeight="1" x14ac:dyDescent="0.2">
      <c r="B282" s="4">
        <v>280</v>
      </c>
      <c r="C282" s="4">
        <v>1801025</v>
      </c>
      <c r="D282" s="2" t="s">
        <v>317</v>
      </c>
      <c r="E282" s="2" t="s">
        <v>317</v>
      </c>
      <c r="G282" s="1" t="str">
        <f>LEFT(الصنف[[#This Row],[تصنيف فرعي (2)]],4)</f>
        <v>1801</v>
      </c>
      <c r="H282" s="5" t="s">
        <v>1018</v>
      </c>
      <c r="I282" s="5" t="str">
        <f>LEFT(الصنف[[#This Row],[تصنيف فرعي (1)]],2)</f>
        <v>18</v>
      </c>
      <c r="J282" s="1" t="s">
        <v>667</v>
      </c>
      <c r="K282" s="1">
        <f>VLOOKUP(الصنف[[#This Row],[وحده القياس]],$S$4:$T$67,2,TRUE)</f>
        <v>60</v>
      </c>
      <c r="L282" s="1" t="s">
        <v>686</v>
      </c>
      <c r="M282" s="1">
        <v>1000</v>
      </c>
      <c r="N282" s="6" t="s">
        <v>678</v>
      </c>
      <c r="O282" s="7"/>
      <c r="P282" s="9">
        <f>IF(الصنف[[#This Row],[وحده المكونات]]="جرام",1,0)</f>
        <v>1</v>
      </c>
    </row>
    <row r="283" spans="2:20" ht="20.100000000000001" customHeight="1" x14ac:dyDescent="0.2">
      <c r="B283" s="4">
        <v>281</v>
      </c>
      <c r="C283" s="4">
        <v>1801026</v>
      </c>
      <c r="D283" s="2" t="s">
        <v>5</v>
      </c>
      <c r="E283" s="2" t="s">
        <v>5</v>
      </c>
      <c r="G283" s="1" t="str">
        <f>LEFT(الصنف[[#This Row],[تصنيف فرعي (2)]],4)</f>
        <v>1801</v>
      </c>
      <c r="H283" s="5" t="s">
        <v>1018</v>
      </c>
      <c r="I283" s="5" t="str">
        <f>LEFT(الصنف[[#This Row],[تصنيف فرعي (1)]],2)</f>
        <v>18</v>
      </c>
      <c r="J283" s="1" t="s">
        <v>667</v>
      </c>
      <c r="K283" s="1">
        <f>VLOOKUP(الصنف[[#This Row],[وحده القياس]],$S$4:$T$67,2,TRUE)</f>
        <v>60</v>
      </c>
      <c r="L283" s="1" t="s">
        <v>686</v>
      </c>
      <c r="M283" s="1">
        <v>1000</v>
      </c>
      <c r="N283" s="6" t="s">
        <v>678</v>
      </c>
      <c r="O283" s="7"/>
      <c r="P283" s="9">
        <f>IF(الصنف[[#This Row],[وحده المكونات]]="جرام",1,0)</f>
        <v>1</v>
      </c>
    </row>
    <row r="284" spans="2:20" ht="20.100000000000001" customHeight="1" x14ac:dyDescent="0.2">
      <c r="B284" s="4">
        <v>282</v>
      </c>
      <c r="C284" s="4">
        <v>1801027</v>
      </c>
      <c r="D284" s="2" t="s">
        <v>14</v>
      </c>
      <c r="E284" s="2" t="s">
        <v>14</v>
      </c>
      <c r="G284" s="1" t="str">
        <f>LEFT(الصنف[[#This Row],[تصنيف فرعي (2)]],4)</f>
        <v>1801</v>
      </c>
      <c r="H284" s="5" t="s">
        <v>1018</v>
      </c>
      <c r="I284" s="5" t="str">
        <f>LEFT(الصنف[[#This Row],[تصنيف فرعي (1)]],2)</f>
        <v>18</v>
      </c>
      <c r="J284" s="1" t="s">
        <v>667</v>
      </c>
      <c r="K284" s="1">
        <f>VLOOKUP(الصنف[[#This Row],[وحده القياس]],$S$4:$T$67,2,TRUE)</f>
        <v>60</v>
      </c>
      <c r="L284" s="1" t="s">
        <v>686</v>
      </c>
      <c r="M284" s="1">
        <v>1000</v>
      </c>
      <c r="N284" s="6" t="s">
        <v>678</v>
      </c>
      <c r="O284" s="7"/>
      <c r="P284" s="9">
        <f>IF(الصنف[[#This Row],[وحده المكونات]]="جرام",1,0)</f>
        <v>1</v>
      </c>
    </row>
    <row r="285" spans="2:20" ht="20.100000000000001" customHeight="1" x14ac:dyDescent="0.2">
      <c r="B285" s="4">
        <v>283</v>
      </c>
      <c r="C285" s="4">
        <v>1801028</v>
      </c>
      <c r="D285" s="2" t="s">
        <v>399</v>
      </c>
      <c r="E285" s="2" t="s">
        <v>399</v>
      </c>
      <c r="G285" s="1" t="str">
        <f>LEFT(الصنف[[#This Row],[تصنيف فرعي (2)]],4)</f>
        <v>1801</v>
      </c>
      <c r="H285" s="5" t="s">
        <v>1018</v>
      </c>
      <c r="I285" s="5" t="str">
        <f>LEFT(الصنف[[#This Row],[تصنيف فرعي (1)]],2)</f>
        <v>18</v>
      </c>
      <c r="J285" s="1" t="s">
        <v>667</v>
      </c>
      <c r="K285" s="1">
        <f>VLOOKUP(الصنف[[#This Row],[وحده القياس]],$S$4:$T$67,2,TRUE)</f>
        <v>34</v>
      </c>
      <c r="L285" s="1" t="s">
        <v>945</v>
      </c>
      <c r="M285" s="1">
        <v>1000</v>
      </c>
      <c r="N285" s="6" t="s">
        <v>678</v>
      </c>
      <c r="O285" s="7"/>
      <c r="P285" s="9">
        <f>IF(الصنف[[#This Row],[وحده المكونات]]="جرام",1,0)</f>
        <v>1</v>
      </c>
    </row>
    <row r="286" spans="2:20" ht="20.100000000000001" customHeight="1" x14ac:dyDescent="0.2">
      <c r="B286" s="4">
        <v>284</v>
      </c>
      <c r="C286" s="4">
        <v>1801029</v>
      </c>
      <c r="D286" s="2" t="s">
        <v>400</v>
      </c>
      <c r="E286" s="2" t="s">
        <v>400</v>
      </c>
      <c r="G286" s="1" t="str">
        <f>LEFT(الصنف[[#This Row],[تصنيف فرعي (2)]],4)</f>
        <v>1801</v>
      </c>
      <c r="H286" s="5" t="s">
        <v>1018</v>
      </c>
      <c r="I286" s="5" t="str">
        <f>LEFT(الصنف[[#This Row],[تصنيف فرعي (1)]],2)</f>
        <v>18</v>
      </c>
      <c r="J286" s="1" t="s">
        <v>667</v>
      </c>
      <c r="K286" s="1">
        <f>VLOOKUP(الصنف[[#This Row],[وحده القياس]],$S$4:$T$67,2,TRUE)</f>
        <v>34</v>
      </c>
      <c r="L286" s="1" t="s">
        <v>945</v>
      </c>
      <c r="M286" s="1">
        <v>1000</v>
      </c>
      <c r="N286" s="6" t="s">
        <v>678</v>
      </c>
      <c r="O286" s="7"/>
      <c r="P286" s="9">
        <f>IF(الصنف[[#This Row],[وحده المكونات]]="جرام",1,0)</f>
        <v>1</v>
      </c>
      <c r="T286" s="1">
        <v>10000</v>
      </c>
    </row>
    <row r="287" spans="2:20" ht="20.100000000000001" customHeight="1" x14ac:dyDescent="0.2">
      <c r="B287" s="4">
        <v>285</v>
      </c>
      <c r="C287" s="4">
        <v>1801030</v>
      </c>
      <c r="D287" s="2" t="s">
        <v>527</v>
      </c>
      <c r="E287" s="2" t="s">
        <v>527</v>
      </c>
      <c r="G287" s="1" t="str">
        <f>LEFT(الصنف[[#This Row],[تصنيف فرعي (2)]],4)</f>
        <v>1801</v>
      </c>
      <c r="H287" s="5" t="s">
        <v>1018</v>
      </c>
      <c r="I287" s="5" t="str">
        <f>LEFT(الصنف[[#This Row],[تصنيف فرعي (1)]],2)</f>
        <v>18</v>
      </c>
      <c r="J287" s="1" t="s">
        <v>667</v>
      </c>
      <c r="K287" s="1">
        <f>VLOOKUP(الصنف[[#This Row],[وحده القياس]],$S$4:$T$67,2,TRUE)</f>
        <v>60</v>
      </c>
      <c r="L287" s="1" t="s">
        <v>686</v>
      </c>
      <c r="M287" s="1">
        <v>1000</v>
      </c>
      <c r="N287" s="6" t="s">
        <v>678</v>
      </c>
      <c r="O287" s="7"/>
      <c r="P287" s="9">
        <f>IF(الصنف[[#This Row],[وحده المكونات]]="جرام",1,0)</f>
        <v>1</v>
      </c>
    </row>
    <row r="288" spans="2:20" ht="20.100000000000001" customHeight="1" x14ac:dyDescent="0.2">
      <c r="B288" s="4">
        <v>286</v>
      </c>
      <c r="C288" s="4">
        <v>1802001</v>
      </c>
      <c r="D288" s="2" t="s">
        <v>20</v>
      </c>
      <c r="E288" s="2" t="s">
        <v>20</v>
      </c>
      <c r="G288" s="1" t="str">
        <f>LEFT(الصنف[[#This Row],[تصنيف فرعي (2)]],4)</f>
        <v>1802</v>
      </c>
      <c r="H288" s="5" t="s">
        <v>1019</v>
      </c>
      <c r="I288" s="5" t="str">
        <f>LEFT(الصنف[[#This Row],[تصنيف فرعي (1)]],2)</f>
        <v>18</v>
      </c>
      <c r="J288" s="1" t="s">
        <v>667</v>
      </c>
      <c r="K288" s="1">
        <f>VLOOKUP(الصنف[[#This Row],[وحده القياس]],$S$4:$T$67,2,TRUE)</f>
        <v>58</v>
      </c>
      <c r="L288" s="1" t="s">
        <v>951</v>
      </c>
      <c r="M288" s="1">
        <v>625</v>
      </c>
      <c r="N288" s="6" t="s">
        <v>678</v>
      </c>
      <c r="O288" s="7"/>
      <c r="P288" s="9">
        <f>IF(الصنف[[#This Row],[وحده المكونات]]="جرام",1,0)</f>
        <v>1</v>
      </c>
      <c r="T288" s="1">
        <f>+T286/16</f>
        <v>625</v>
      </c>
    </row>
    <row r="289" spans="2:16" ht="20.100000000000001" customHeight="1" x14ac:dyDescent="0.2">
      <c r="B289" s="4">
        <v>287</v>
      </c>
      <c r="C289" s="4">
        <v>1802002</v>
      </c>
      <c r="D289" s="2" t="s">
        <v>21</v>
      </c>
      <c r="E289" s="2" t="s">
        <v>21</v>
      </c>
      <c r="G289" s="1" t="str">
        <f>LEFT(الصنف[[#This Row],[تصنيف فرعي (2)]],4)</f>
        <v>1802</v>
      </c>
      <c r="H289" s="5" t="s">
        <v>1019</v>
      </c>
      <c r="I289" s="5" t="str">
        <f>LEFT(الصنف[[#This Row],[تصنيف فرعي (1)]],2)</f>
        <v>18</v>
      </c>
      <c r="J289" s="1" t="s">
        <v>667</v>
      </c>
      <c r="K289" s="1">
        <f>VLOOKUP(الصنف[[#This Row],[وحده القياس]],$S$4:$T$67,2,TRUE)</f>
        <v>27</v>
      </c>
      <c r="L289" s="1" t="s">
        <v>883</v>
      </c>
      <c r="M289" s="1">
        <v>50000</v>
      </c>
      <c r="N289" s="6" t="s">
        <v>678</v>
      </c>
      <c r="O289" s="7"/>
      <c r="P289" s="9">
        <f>IF(الصنف[[#This Row],[وحده المكونات]]="جرام",1,0)</f>
        <v>1</v>
      </c>
    </row>
    <row r="290" spans="2:16" ht="20.100000000000001" customHeight="1" x14ac:dyDescent="0.2">
      <c r="B290" s="4">
        <v>288</v>
      </c>
      <c r="C290" s="4">
        <v>1802003</v>
      </c>
      <c r="D290" s="2" t="s">
        <v>396</v>
      </c>
      <c r="E290" s="2" t="s">
        <v>396</v>
      </c>
      <c r="G290" s="1" t="str">
        <f>LEFT(الصنف[[#This Row],[تصنيف فرعي (2)]],4)</f>
        <v>1802</v>
      </c>
      <c r="H290" s="5" t="s">
        <v>1019</v>
      </c>
      <c r="I290" s="5" t="str">
        <f>LEFT(الصنف[[#This Row],[تصنيف فرعي (1)]],2)</f>
        <v>18</v>
      </c>
      <c r="J290" s="1" t="s">
        <v>667</v>
      </c>
      <c r="K290" s="1">
        <f>VLOOKUP(الصنف[[#This Row],[وحده القياس]],$S$4:$T$67,2,TRUE)</f>
        <v>60</v>
      </c>
      <c r="L290" s="1" t="s">
        <v>686</v>
      </c>
      <c r="M290" s="1">
        <v>1000</v>
      </c>
      <c r="N290" s="6" t="s">
        <v>678</v>
      </c>
      <c r="O290" s="7"/>
      <c r="P290" s="9">
        <f>IF(الصنف[[#This Row],[وحده المكونات]]="جرام",1,0)</f>
        <v>1</v>
      </c>
    </row>
    <row r="291" spans="2:16" ht="20.100000000000001" customHeight="1" x14ac:dyDescent="0.2">
      <c r="B291" s="4">
        <v>289</v>
      </c>
      <c r="C291" s="4">
        <v>1802004</v>
      </c>
      <c r="D291" s="2" t="s">
        <v>18</v>
      </c>
      <c r="E291" s="2" t="s">
        <v>18</v>
      </c>
      <c r="G291" s="1" t="str">
        <f>LEFT(الصنف[[#This Row],[تصنيف فرعي (2)]],4)</f>
        <v>1802</v>
      </c>
      <c r="H291" s="5" t="s">
        <v>1019</v>
      </c>
      <c r="I291" s="5" t="str">
        <f>LEFT(الصنف[[#This Row],[تصنيف فرعي (1)]],2)</f>
        <v>18</v>
      </c>
      <c r="J291" s="1" t="s">
        <v>667</v>
      </c>
      <c r="K291" s="1">
        <f>VLOOKUP(الصنف[[#This Row],[وحده القياس]],$S$4:$T$67,2,TRUE)</f>
        <v>40</v>
      </c>
      <c r="L291" s="1" t="s">
        <v>952</v>
      </c>
      <c r="M291" s="1">
        <v>700</v>
      </c>
      <c r="N291" s="6" t="s">
        <v>678</v>
      </c>
      <c r="O291" s="7"/>
      <c r="P291" s="9">
        <f>IF(الصنف[[#This Row],[وحده المكونات]]="جرام",1,0)</f>
        <v>1</v>
      </c>
    </row>
    <row r="292" spans="2:16" ht="20.100000000000001" customHeight="1" x14ac:dyDescent="0.2">
      <c r="B292" s="4">
        <v>290</v>
      </c>
      <c r="C292" s="4">
        <v>1802005</v>
      </c>
      <c r="D292" s="2" t="s">
        <v>19</v>
      </c>
      <c r="E292" s="2" t="s">
        <v>19</v>
      </c>
      <c r="G292" s="1" t="str">
        <f>LEFT(الصنف[[#This Row],[تصنيف فرعي (2)]],4)</f>
        <v>1802</v>
      </c>
      <c r="H292" s="5" t="s">
        <v>1019</v>
      </c>
      <c r="I292" s="5" t="str">
        <f>LEFT(الصنف[[#This Row],[تصنيف فرعي (1)]],2)</f>
        <v>18</v>
      </c>
      <c r="J292" s="1" t="s">
        <v>667</v>
      </c>
      <c r="K292" s="1">
        <f>VLOOKUP(الصنف[[#This Row],[وحده القياس]],$S$4:$T$67,2,TRUE)</f>
        <v>60</v>
      </c>
      <c r="L292" s="1" t="s">
        <v>686</v>
      </c>
      <c r="M292" s="1">
        <v>1000</v>
      </c>
      <c r="N292" s="6" t="s">
        <v>678</v>
      </c>
      <c r="O292" s="7"/>
      <c r="P292" s="9">
        <f>IF(الصنف[[#This Row],[وحده المكونات]]="جرام",1,0)</f>
        <v>1</v>
      </c>
    </row>
    <row r="293" spans="2:16" ht="20.100000000000001" customHeight="1" x14ac:dyDescent="0.2">
      <c r="B293" s="4">
        <v>291</v>
      </c>
      <c r="C293" s="4">
        <v>1901001</v>
      </c>
      <c r="D293" s="2" t="s">
        <v>23</v>
      </c>
      <c r="E293" s="2" t="s">
        <v>23</v>
      </c>
      <c r="G293" s="1" t="str">
        <f>LEFT(الصنف[[#This Row],[تصنيف فرعي (2)]],4)</f>
        <v>1901</v>
      </c>
      <c r="H293" s="5" t="s">
        <v>1020</v>
      </c>
      <c r="I293" s="5" t="str">
        <f>LEFT(الصنف[[#This Row],[تصنيف فرعي (1)]],2)</f>
        <v>19</v>
      </c>
      <c r="J293" s="1" t="s">
        <v>677</v>
      </c>
      <c r="K293" s="1">
        <f>VLOOKUP(الصنف[[#This Row],[وحده القياس]],$S$4:$T$67,2,TRUE)</f>
        <v>25</v>
      </c>
      <c r="L293" s="1" t="s">
        <v>690</v>
      </c>
      <c r="M293" s="1">
        <v>25000</v>
      </c>
      <c r="N293" s="6" t="s">
        <v>678</v>
      </c>
      <c r="O293" s="7"/>
      <c r="P293" s="9">
        <f>IF(الصنف[[#This Row],[وحده المكونات]]="جرام",1,0)</f>
        <v>1</v>
      </c>
    </row>
    <row r="294" spans="2:16" ht="20.100000000000001" customHeight="1" x14ac:dyDescent="0.2">
      <c r="B294" s="4">
        <v>292</v>
      </c>
      <c r="C294" s="4">
        <v>1901002</v>
      </c>
      <c r="D294" s="2" t="s">
        <v>748</v>
      </c>
      <c r="E294" s="2" t="s">
        <v>748</v>
      </c>
      <c r="G294" s="1" t="str">
        <f>LEFT(الصنف[[#This Row],[تصنيف فرعي (2)]],4)</f>
        <v>1901</v>
      </c>
      <c r="H294" s="5" t="s">
        <v>1020</v>
      </c>
      <c r="I294" s="5" t="str">
        <f>LEFT(الصنف[[#This Row],[تصنيف فرعي (1)]],2)</f>
        <v>19</v>
      </c>
      <c r="J294" s="1" t="s">
        <v>677</v>
      </c>
      <c r="K294" s="1">
        <f>VLOOKUP(الصنف[[#This Row],[وحده القياس]],$S$4:$T$67,2,TRUE)</f>
        <v>25</v>
      </c>
      <c r="L294" s="1" t="s">
        <v>690</v>
      </c>
      <c r="M294" s="1">
        <v>25000</v>
      </c>
      <c r="N294" s="6" t="s">
        <v>678</v>
      </c>
      <c r="O294" s="7"/>
      <c r="P294" s="9">
        <f>IF(الصنف[[#This Row],[وحده المكونات]]="جرام",1,0)</f>
        <v>1</v>
      </c>
    </row>
    <row r="295" spans="2:16" ht="20.100000000000001" customHeight="1" x14ac:dyDescent="0.2">
      <c r="B295" s="4">
        <v>293</v>
      </c>
      <c r="C295" s="4">
        <v>1901003</v>
      </c>
      <c r="D295" s="2" t="s">
        <v>625</v>
      </c>
      <c r="E295" s="2" t="s">
        <v>625</v>
      </c>
      <c r="G295" s="1" t="str">
        <f>LEFT(الصنف[[#This Row],[تصنيف فرعي (2)]],4)</f>
        <v>1901</v>
      </c>
      <c r="H295" s="5" t="s">
        <v>1020</v>
      </c>
      <c r="I295" s="5" t="str">
        <f>LEFT(الصنف[[#This Row],[تصنيف فرعي (1)]],2)</f>
        <v>19</v>
      </c>
      <c r="J295" s="1" t="s">
        <v>677</v>
      </c>
      <c r="K295" s="1">
        <f>VLOOKUP(الصنف[[#This Row],[وحده القياس]],$S$4:$T$67,2,TRUE)</f>
        <v>24</v>
      </c>
      <c r="L295" s="1" t="s">
        <v>691</v>
      </c>
      <c r="M295" s="1">
        <v>20000</v>
      </c>
      <c r="N295" s="6" t="s">
        <v>678</v>
      </c>
      <c r="O295" s="7"/>
      <c r="P295" s="9">
        <f>IF(الصنف[[#This Row],[وحده المكونات]]="جرام",1,0)</f>
        <v>1</v>
      </c>
    </row>
    <row r="296" spans="2:16" ht="20.100000000000001" customHeight="1" x14ac:dyDescent="0.2">
      <c r="B296" s="4">
        <v>294</v>
      </c>
      <c r="C296" s="4">
        <v>1901004</v>
      </c>
      <c r="D296" s="2" t="s">
        <v>624</v>
      </c>
      <c r="E296" s="2" t="s">
        <v>624</v>
      </c>
      <c r="G296" s="1" t="str">
        <f>LEFT(الصنف[[#This Row],[تصنيف فرعي (2)]],4)</f>
        <v>1901</v>
      </c>
      <c r="H296" s="5" t="s">
        <v>1020</v>
      </c>
      <c r="I296" s="5" t="str">
        <f>LEFT(الصنف[[#This Row],[تصنيف فرعي (1)]],2)</f>
        <v>19</v>
      </c>
      <c r="J296" s="1" t="s">
        <v>677</v>
      </c>
      <c r="K296" s="1">
        <f>VLOOKUP(الصنف[[#This Row],[وحده القياس]],$S$4:$T$67,2,TRUE)</f>
        <v>26</v>
      </c>
      <c r="L296" s="1" t="s">
        <v>692</v>
      </c>
      <c r="M296" s="1">
        <v>40000</v>
      </c>
      <c r="N296" s="6" t="s">
        <v>678</v>
      </c>
      <c r="O296" s="7"/>
      <c r="P296" s="9">
        <f>IF(الصنف[[#This Row],[وحده المكونات]]="جرام",1,0)</f>
        <v>1</v>
      </c>
    </row>
    <row r="297" spans="2:16" ht="20.100000000000001" customHeight="1" x14ac:dyDescent="0.2">
      <c r="B297" s="4">
        <v>295</v>
      </c>
      <c r="C297" s="4">
        <v>1902001</v>
      </c>
      <c r="D297" s="2" t="s">
        <v>594</v>
      </c>
      <c r="E297" s="2" t="s">
        <v>594</v>
      </c>
      <c r="G297" s="1" t="str">
        <f>LEFT(الصنف[[#This Row],[تصنيف فرعي (2)]],4)</f>
        <v>1902</v>
      </c>
      <c r="H297" s="5" t="s">
        <v>1021</v>
      </c>
      <c r="I297" s="5" t="str">
        <f>LEFT(الصنف[[#This Row],[تصنيف فرعي (1)]],2)</f>
        <v>19</v>
      </c>
      <c r="J297" s="1" t="s">
        <v>677</v>
      </c>
      <c r="K297" s="1">
        <f>VLOOKUP(الصنف[[#This Row],[وحده القياس]],$S$4:$T$67,2,TRUE)</f>
        <v>51</v>
      </c>
      <c r="L297" s="1" t="s">
        <v>761</v>
      </c>
      <c r="M297" s="1">
        <v>1000</v>
      </c>
      <c r="N297" s="6" t="s">
        <v>678</v>
      </c>
      <c r="O297" s="7"/>
      <c r="P297" s="9">
        <f>IF(الصنف[[#This Row],[وحده المكونات]]="جرام",1,0)</f>
        <v>1</v>
      </c>
    </row>
    <row r="298" spans="2:16" ht="20.100000000000001" customHeight="1" x14ac:dyDescent="0.2">
      <c r="B298" s="4">
        <v>296</v>
      </c>
      <c r="C298" s="4">
        <v>1902002</v>
      </c>
      <c r="D298" s="2" t="s">
        <v>850</v>
      </c>
      <c r="E298" s="2" t="s">
        <v>593</v>
      </c>
      <c r="G298" s="1" t="str">
        <f>LEFT(الصنف[[#This Row],[تصنيف فرعي (2)]],4)</f>
        <v>1902</v>
      </c>
      <c r="H298" s="5" t="s">
        <v>1021</v>
      </c>
      <c r="I298" s="5" t="str">
        <f>LEFT(الصنف[[#This Row],[تصنيف فرعي (1)]],2)</f>
        <v>19</v>
      </c>
      <c r="J298" s="1" t="s">
        <v>677</v>
      </c>
      <c r="K298" s="1">
        <f>VLOOKUP(الصنف[[#This Row],[وحده القياس]],$S$4:$T$67,2,TRUE)</f>
        <v>56</v>
      </c>
      <c r="L298" s="1" t="s">
        <v>762</v>
      </c>
      <c r="M298" s="1">
        <v>400</v>
      </c>
      <c r="N298" s="6" t="s">
        <v>678</v>
      </c>
      <c r="O298" s="7"/>
      <c r="P298" s="9">
        <f>IF(الصنف[[#This Row],[وحده المكونات]]="جرام",1,0)</f>
        <v>1</v>
      </c>
    </row>
    <row r="299" spans="2:16" ht="20.100000000000001" customHeight="1" x14ac:dyDescent="0.2">
      <c r="B299" s="4">
        <v>297</v>
      </c>
      <c r="C299" s="4">
        <v>1902003</v>
      </c>
      <c r="D299" s="2" t="s">
        <v>394</v>
      </c>
      <c r="E299" s="2" t="s">
        <v>394</v>
      </c>
      <c r="G299" s="1" t="str">
        <f>LEFT(الصنف[[#This Row],[تصنيف فرعي (2)]],4)</f>
        <v>1902</v>
      </c>
      <c r="H299" s="5" t="s">
        <v>1021</v>
      </c>
      <c r="I299" s="5" t="str">
        <f>LEFT(الصنف[[#This Row],[تصنيف فرعي (1)]],2)</f>
        <v>19</v>
      </c>
      <c r="J299" s="1" t="s">
        <v>677</v>
      </c>
      <c r="K299" s="1">
        <f>VLOOKUP(الصنف[[#This Row],[وحده القياس]],$S$4:$T$67,2,TRUE)</f>
        <v>60</v>
      </c>
      <c r="L299" s="1" t="s">
        <v>686</v>
      </c>
      <c r="M299" s="1">
        <v>1000</v>
      </c>
      <c r="N299" s="6" t="s">
        <v>678</v>
      </c>
      <c r="O299" s="7"/>
      <c r="P299" s="9">
        <f>IF(الصنف[[#This Row],[وحده المكونات]]="جرام",1,0)</f>
        <v>1</v>
      </c>
    </row>
    <row r="300" spans="2:16" ht="20.100000000000001" customHeight="1" x14ac:dyDescent="0.2">
      <c r="B300" s="4">
        <v>298</v>
      </c>
      <c r="C300" s="4">
        <v>1902004</v>
      </c>
      <c r="D300" s="2" t="s">
        <v>859</v>
      </c>
      <c r="E300" s="2" t="s">
        <v>760</v>
      </c>
      <c r="G300" s="1" t="str">
        <f>LEFT(الصنف[[#This Row],[تصنيف فرعي (2)]],4)</f>
        <v>1902</v>
      </c>
      <c r="H300" s="5" t="s">
        <v>1021</v>
      </c>
      <c r="I300" s="5" t="str">
        <f>LEFT(الصنف[[#This Row],[تصنيف فرعي (1)]],2)</f>
        <v>19</v>
      </c>
      <c r="J300" s="1" t="s">
        <v>677</v>
      </c>
      <c r="K300" s="1">
        <f>VLOOKUP(الصنف[[#This Row],[وحده القياس]],$S$4:$T$67,2,TRUE)</f>
        <v>51</v>
      </c>
      <c r="L300" s="1" t="s">
        <v>761</v>
      </c>
      <c r="M300" s="1">
        <v>1000</v>
      </c>
      <c r="N300" s="6" t="s">
        <v>678</v>
      </c>
      <c r="O300" s="7"/>
      <c r="P300" s="9">
        <f>IF(الصنف[[#This Row],[وحده المكونات]]="جرام",1,0)</f>
        <v>1</v>
      </c>
    </row>
    <row r="301" spans="2:16" ht="20.100000000000001" customHeight="1" x14ac:dyDescent="0.2">
      <c r="B301" s="4">
        <v>299</v>
      </c>
      <c r="C301" s="4">
        <v>1902005</v>
      </c>
      <c r="D301" s="2" t="s">
        <v>788</v>
      </c>
      <c r="E301" s="2" t="s">
        <v>788</v>
      </c>
      <c r="G301" s="1" t="str">
        <f>LEFT(الصنف[[#This Row],[تصنيف فرعي (2)]],4)</f>
        <v>1902</v>
      </c>
      <c r="H301" s="5" t="s">
        <v>1021</v>
      </c>
      <c r="I301" s="5" t="str">
        <f>LEFT(الصنف[[#This Row],[تصنيف فرعي (1)]],2)</f>
        <v>19</v>
      </c>
      <c r="J301" s="1" t="s">
        <v>677</v>
      </c>
      <c r="K301" s="1">
        <f>VLOOKUP(الصنف[[#This Row],[وحده القياس]],$S$4:$T$67,2,TRUE)</f>
        <v>56</v>
      </c>
      <c r="L301" s="1" t="s">
        <v>762</v>
      </c>
      <c r="M301" s="1">
        <v>400</v>
      </c>
      <c r="N301" s="6" t="s">
        <v>678</v>
      </c>
      <c r="O301" s="7"/>
      <c r="P301" s="9">
        <f>IF(الصنف[[#This Row],[وحده المكونات]]="جرام",1,0)</f>
        <v>1</v>
      </c>
    </row>
    <row r="302" spans="2:16" ht="20.100000000000001" customHeight="1" x14ac:dyDescent="0.2">
      <c r="B302" s="4">
        <v>300</v>
      </c>
      <c r="C302" s="4">
        <v>1902006</v>
      </c>
      <c r="D302" s="2" t="s">
        <v>856</v>
      </c>
      <c r="E302" s="2" t="s">
        <v>789</v>
      </c>
      <c r="G302" s="1" t="str">
        <f>LEFT(الصنف[[#This Row],[تصنيف فرعي (2)]],4)</f>
        <v>1902</v>
      </c>
      <c r="H302" s="5" t="s">
        <v>1021</v>
      </c>
      <c r="I302" s="5" t="str">
        <f>LEFT(الصنف[[#This Row],[تصنيف فرعي (1)]],2)</f>
        <v>19</v>
      </c>
      <c r="J302" s="1" t="s">
        <v>677</v>
      </c>
      <c r="K302" s="1">
        <f>VLOOKUP(الصنف[[#This Row],[وحده القياس]],$S$4:$T$67,2,TRUE)</f>
        <v>51</v>
      </c>
      <c r="L302" s="1" t="s">
        <v>761</v>
      </c>
      <c r="M302" s="1">
        <v>1000</v>
      </c>
      <c r="N302" s="6" t="s">
        <v>678</v>
      </c>
      <c r="O302" s="7"/>
      <c r="P302" s="9">
        <f>IF(الصنف[[#This Row],[وحده المكونات]]="جرام",1,0)</f>
        <v>1</v>
      </c>
    </row>
    <row r="303" spans="2:16" ht="20.100000000000001" customHeight="1" x14ac:dyDescent="0.2">
      <c r="B303" s="4">
        <v>301</v>
      </c>
      <c r="C303" s="4">
        <v>1902007</v>
      </c>
      <c r="D303" s="2" t="s">
        <v>855</v>
      </c>
      <c r="E303" s="2" t="s">
        <v>790</v>
      </c>
      <c r="G303" s="1" t="str">
        <f>LEFT(الصنف[[#This Row],[تصنيف فرعي (2)]],4)</f>
        <v>1902</v>
      </c>
      <c r="H303" s="5" t="s">
        <v>1021</v>
      </c>
      <c r="I303" s="5" t="str">
        <f>LEFT(الصنف[[#This Row],[تصنيف فرعي (1)]],2)</f>
        <v>19</v>
      </c>
      <c r="J303" s="1" t="s">
        <v>677</v>
      </c>
      <c r="K303" s="1">
        <f>VLOOKUP(الصنف[[#This Row],[وحده القياس]],$S$4:$T$67,2,TRUE)</f>
        <v>56</v>
      </c>
      <c r="L303" s="1" t="s">
        <v>762</v>
      </c>
      <c r="M303" s="1">
        <v>400</v>
      </c>
      <c r="N303" s="6" t="s">
        <v>678</v>
      </c>
      <c r="O303" s="7"/>
      <c r="P303" s="9">
        <f>IF(الصنف[[#This Row],[وحده المكونات]]="جرام",1,0)</f>
        <v>1</v>
      </c>
    </row>
    <row r="304" spans="2:16" ht="20.100000000000001" customHeight="1" x14ac:dyDescent="0.2">
      <c r="B304" s="4">
        <v>302</v>
      </c>
      <c r="C304" s="4">
        <v>1902008</v>
      </c>
      <c r="D304" s="2" t="s">
        <v>854</v>
      </c>
      <c r="E304" s="2" t="s">
        <v>791</v>
      </c>
      <c r="G304" s="1" t="str">
        <f>LEFT(الصنف[[#This Row],[تصنيف فرعي (2)]],4)</f>
        <v>1902</v>
      </c>
      <c r="H304" s="5" t="s">
        <v>1021</v>
      </c>
      <c r="I304" s="5" t="str">
        <f>LEFT(الصنف[[#This Row],[تصنيف فرعي (1)]],2)</f>
        <v>19</v>
      </c>
      <c r="J304" s="1" t="s">
        <v>677</v>
      </c>
      <c r="K304" s="1">
        <f>VLOOKUP(الصنف[[#This Row],[وحده القياس]],$S$4:$T$67,2,TRUE)</f>
        <v>51</v>
      </c>
      <c r="L304" s="1" t="s">
        <v>761</v>
      </c>
      <c r="M304" s="1">
        <v>1000</v>
      </c>
      <c r="N304" s="6" t="s">
        <v>678</v>
      </c>
      <c r="O304" s="7"/>
      <c r="P304" s="9">
        <f>IF(الصنف[[#This Row],[وحده المكونات]]="جرام",1,0)</f>
        <v>1</v>
      </c>
    </row>
    <row r="305" spans="2:16" ht="20.100000000000001" customHeight="1" x14ac:dyDescent="0.2">
      <c r="B305" s="4">
        <v>303</v>
      </c>
      <c r="C305" s="4">
        <v>1902009</v>
      </c>
      <c r="D305" s="2" t="s">
        <v>853</v>
      </c>
      <c r="E305" s="2" t="s">
        <v>792</v>
      </c>
      <c r="G305" s="1" t="str">
        <f>LEFT(الصنف[[#This Row],[تصنيف فرعي (2)]],4)</f>
        <v>1902</v>
      </c>
      <c r="H305" s="5" t="s">
        <v>1021</v>
      </c>
      <c r="I305" s="5" t="str">
        <f>LEFT(الصنف[[#This Row],[تصنيف فرعي (1)]],2)</f>
        <v>19</v>
      </c>
      <c r="J305" s="1" t="s">
        <v>677</v>
      </c>
      <c r="K305" s="1">
        <f>VLOOKUP(الصنف[[#This Row],[وحده القياس]],$S$4:$T$67,2,TRUE)</f>
        <v>56</v>
      </c>
      <c r="L305" s="1" t="s">
        <v>762</v>
      </c>
      <c r="M305" s="1">
        <v>400</v>
      </c>
      <c r="N305" s="6" t="s">
        <v>678</v>
      </c>
      <c r="O305" s="7"/>
      <c r="P305" s="9">
        <f>IF(الصنف[[#This Row],[وحده المكونات]]="جرام",1,0)</f>
        <v>1</v>
      </c>
    </row>
    <row r="306" spans="2:16" ht="20.100000000000001" customHeight="1" x14ac:dyDescent="0.2">
      <c r="B306" s="4">
        <v>304</v>
      </c>
      <c r="C306" s="4">
        <v>1902010</v>
      </c>
      <c r="D306" s="2" t="s">
        <v>857</v>
      </c>
      <c r="E306" s="2" t="s">
        <v>401</v>
      </c>
      <c r="G306" s="1" t="str">
        <f>LEFT(الصنف[[#This Row],[تصنيف فرعي (2)]],4)</f>
        <v>1902</v>
      </c>
      <c r="H306" s="5" t="s">
        <v>1021</v>
      </c>
      <c r="I306" s="5" t="str">
        <f>LEFT(الصنف[[#This Row],[تصنيف فرعي (1)]],2)</f>
        <v>19</v>
      </c>
      <c r="J306" s="1" t="s">
        <v>677</v>
      </c>
      <c r="K306" s="1">
        <f>VLOOKUP(الصنف[[#This Row],[وحده القياس]],$S$4:$T$67,2,TRUE)</f>
        <v>51</v>
      </c>
      <c r="L306" s="1" t="s">
        <v>761</v>
      </c>
      <c r="M306" s="1">
        <v>1000</v>
      </c>
      <c r="N306" s="6" t="s">
        <v>678</v>
      </c>
      <c r="O306" s="7"/>
      <c r="P306" s="9">
        <f>IF(الصنف[[#This Row],[وحده المكونات]]="جرام",1,0)</f>
        <v>1</v>
      </c>
    </row>
    <row r="307" spans="2:16" ht="20.100000000000001" customHeight="1" x14ac:dyDescent="0.2">
      <c r="B307" s="4">
        <v>305</v>
      </c>
      <c r="C307" s="4">
        <v>1902011</v>
      </c>
      <c r="D307" s="2" t="s">
        <v>852</v>
      </c>
      <c r="E307" s="2" t="s">
        <v>793</v>
      </c>
      <c r="G307" s="1" t="str">
        <f>LEFT(الصنف[[#This Row],[تصنيف فرعي (2)]],4)</f>
        <v>1902</v>
      </c>
      <c r="H307" s="5" t="s">
        <v>1021</v>
      </c>
      <c r="I307" s="5" t="str">
        <f>LEFT(الصنف[[#This Row],[تصنيف فرعي (1)]],2)</f>
        <v>19</v>
      </c>
      <c r="J307" s="1" t="s">
        <v>677</v>
      </c>
      <c r="K307" s="1">
        <f>VLOOKUP(الصنف[[#This Row],[وحده القياس]],$S$4:$T$67,2,TRUE)</f>
        <v>56</v>
      </c>
      <c r="L307" s="1" t="s">
        <v>762</v>
      </c>
      <c r="M307" s="1">
        <v>400</v>
      </c>
      <c r="N307" s="6" t="s">
        <v>678</v>
      </c>
      <c r="O307" s="7"/>
      <c r="P307" s="9">
        <f>IF(الصنف[[#This Row],[وحده المكونات]]="جرام",1,0)</f>
        <v>1</v>
      </c>
    </row>
    <row r="308" spans="2:16" ht="20.100000000000001" customHeight="1" x14ac:dyDescent="0.2">
      <c r="B308" s="4">
        <v>306</v>
      </c>
      <c r="C308" s="4">
        <v>1902012</v>
      </c>
      <c r="D308" s="2" t="s">
        <v>858</v>
      </c>
      <c r="E308" s="2" t="s">
        <v>794</v>
      </c>
      <c r="G308" s="1" t="str">
        <f>LEFT(الصنف[[#This Row],[تصنيف فرعي (2)]],4)</f>
        <v>1902</v>
      </c>
      <c r="H308" s="5" t="s">
        <v>1021</v>
      </c>
      <c r="I308" s="5" t="str">
        <f>LEFT(الصنف[[#This Row],[تصنيف فرعي (1)]],2)</f>
        <v>19</v>
      </c>
      <c r="J308" s="1" t="s">
        <v>677</v>
      </c>
      <c r="K308" s="1">
        <f>VLOOKUP(الصنف[[#This Row],[وحده القياس]],$S$4:$T$67,2,TRUE)</f>
        <v>51</v>
      </c>
      <c r="L308" s="1" t="s">
        <v>761</v>
      </c>
      <c r="M308" s="1">
        <v>1000</v>
      </c>
      <c r="N308" s="6" t="s">
        <v>678</v>
      </c>
      <c r="O308" s="7"/>
      <c r="P308" s="9">
        <f>IF(الصنف[[#This Row],[وحده المكونات]]="جرام",1,0)</f>
        <v>1</v>
      </c>
    </row>
    <row r="309" spans="2:16" ht="20.100000000000001" customHeight="1" x14ac:dyDescent="0.2">
      <c r="B309" s="4">
        <v>307</v>
      </c>
      <c r="C309" s="4">
        <v>1902013</v>
      </c>
      <c r="D309" s="2" t="s">
        <v>851</v>
      </c>
      <c r="E309" s="2" t="s">
        <v>795</v>
      </c>
      <c r="G309" s="1" t="str">
        <f>LEFT(الصنف[[#This Row],[تصنيف فرعي (2)]],4)</f>
        <v>1902</v>
      </c>
      <c r="H309" s="5" t="s">
        <v>1021</v>
      </c>
      <c r="I309" s="5" t="str">
        <f>LEFT(الصنف[[#This Row],[تصنيف فرعي (1)]],2)</f>
        <v>19</v>
      </c>
      <c r="J309" s="1" t="s">
        <v>677</v>
      </c>
      <c r="K309" s="1">
        <f>VLOOKUP(الصنف[[#This Row],[وحده القياس]],$S$4:$T$67,2,TRUE)</f>
        <v>56</v>
      </c>
      <c r="L309" s="1" t="s">
        <v>762</v>
      </c>
      <c r="M309" s="1">
        <v>400</v>
      </c>
      <c r="N309" s="6" t="s">
        <v>678</v>
      </c>
      <c r="O309" s="7"/>
      <c r="P309" s="9">
        <f>IF(الصنف[[#This Row],[وحده المكونات]]="جرام",1,0)</f>
        <v>1</v>
      </c>
    </row>
    <row r="310" spans="2:16" ht="20.100000000000001" customHeight="1" x14ac:dyDescent="0.2">
      <c r="B310" s="4">
        <v>308</v>
      </c>
      <c r="C310" s="4">
        <v>2101001</v>
      </c>
      <c r="D310" s="2" t="s">
        <v>412</v>
      </c>
      <c r="E310" s="2" t="s">
        <v>412</v>
      </c>
      <c r="G310" s="1" t="str">
        <f>LEFT(الصنف[[#This Row],[تصنيف فرعي (2)]],4)</f>
        <v>2101</v>
      </c>
      <c r="H310" s="5" t="s">
        <v>1022</v>
      </c>
      <c r="I310" s="5" t="str">
        <f>LEFT(الصنف[[#This Row],[تصنيف فرعي (1)]],2)</f>
        <v>21</v>
      </c>
      <c r="J310" s="1" t="s">
        <v>675</v>
      </c>
      <c r="K310" s="1">
        <f>VLOOKUP(الصنف[[#This Row],[وحده القياس]],$S$4:$T$67,2,TRUE)</f>
        <v>14</v>
      </c>
      <c r="L310" s="1" t="s">
        <v>381</v>
      </c>
      <c r="M310" s="1">
        <v>1</v>
      </c>
      <c r="N310" s="6" t="s">
        <v>381</v>
      </c>
      <c r="O310" s="7"/>
      <c r="P310" s="9">
        <f>IF(الصنف[[#This Row],[وحده المكونات]]="جرام",1,0)</f>
        <v>0</v>
      </c>
    </row>
    <row r="311" spans="2:16" ht="20.100000000000001" customHeight="1" x14ac:dyDescent="0.2">
      <c r="B311" s="4">
        <v>309</v>
      </c>
      <c r="C311" s="4">
        <v>2101002</v>
      </c>
      <c r="D311" s="2" t="s">
        <v>606</v>
      </c>
      <c r="E311" s="2" t="s">
        <v>606</v>
      </c>
      <c r="G311" s="1" t="str">
        <f>LEFT(الصنف[[#This Row],[تصنيف فرعي (2)]],4)</f>
        <v>2101</v>
      </c>
      <c r="H311" s="5" t="s">
        <v>1022</v>
      </c>
      <c r="I311" s="5" t="str">
        <f>LEFT(الصنف[[#This Row],[تصنيف فرعي (1)]],2)</f>
        <v>21</v>
      </c>
      <c r="J311" s="1" t="s">
        <v>675</v>
      </c>
      <c r="K311" s="1">
        <f>VLOOKUP(الصنف[[#This Row],[وحده القياس]],$S$4:$T$67,2,TRUE)</f>
        <v>14</v>
      </c>
      <c r="L311" s="1" t="s">
        <v>381</v>
      </c>
      <c r="M311" s="1">
        <v>1</v>
      </c>
      <c r="N311" s="6" t="s">
        <v>381</v>
      </c>
      <c r="O311" s="7"/>
      <c r="P311" s="9">
        <f>IF(الصنف[[#This Row],[وحده المكونات]]="جرام",1,0)</f>
        <v>0</v>
      </c>
    </row>
    <row r="312" spans="2:16" ht="20.100000000000001" customHeight="1" x14ac:dyDescent="0.2">
      <c r="B312" s="4">
        <v>310</v>
      </c>
      <c r="C312" s="4">
        <v>2101003</v>
      </c>
      <c r="D312" s="2" t="s">
        <v>61</v>
      </c>
      <c r="E312" s="2" t="s">
        <v>61</v>
      </c>
      <c r="G312" s="1" t="str">
        <f>LEFT(الصنف[[#This Row],[تصنيف فرعي (2)]],4)</f>
        <v>2101</v>
      </c>
      <c r="H312" s="5" t="s">
        <v>1022</v>
      </c>
      <c r="I312" s="5" t="str">
        <f>LEFT(الصنف[[#This Row],[تصنيف فرعي (1)]],2)</f>
        <v>21</v>
      </c>
      <c r="J312" s="1" t="s">
        <v>675</v>
      </c>
      <c r="K312" s="1">
        <f>VLOOKUP(الصنف[[#This Row],[وحده القياس]],$S$4:$T$67,2,TRUE)</f>
        <v>14</v>
      </c>
      <c r="L312" s="1" t="s">
        <v>381</v>
      </c>
      <c r="M312" s="1">
        <v>1</v>
      </c>
      <c r="N312" s="6" t="s">
        <v>381</v>
      </c>
      <c r="O312" s="7"/>
      <c r="P312" s="9">
        <f>IF(الصنف[[#This Row],[وحده المكونات]]="جرام",1,0)</f>
        <v>0</v>
      </c>
    </row>
    <row r="313" spans="2:16" ht="20.100000000000001" customHeight="1" x14ac:dyDescent="0.2">
      <c r="B313" s="4">
        <v>311</v>
      </c>
      <c r="C313" s="4">
        <v>2101004</v>
      </c>
      <c r="D313" s="2" t="s">
        <v>62</v>
      </c>
      <c r="E313" s="2" t="s">
        <v>62</v>
      </c>
      <c r="G313" s="1" t="str">
        <f>LEFT(الصنف[[#This Row],[تصنيف فرعي (2)]],4)</f>
        <v>2101</v>
      </c>
      <c r="H313" s="5" t="s">
        <v>1022</v>
      </c>
      <c r="I313" s="5" t="str">
        <f>LEFT(الصنف[[#This Row],[تصنيف فرعي (1)]],2)</f>
        <v>21</v>
      </c>
      <c r="J313" s="1" t="s">
        <v>675</v>
      </c>
      <c r="K313" s="1">
        <f>VLOOKUP(الصنف[[#This Row],[وحده القياس]],$S$4:$T$67,2,TRUE)</f>
        <v>14</v>
      </c>
      <c r="L313" s="1" t="s">
        <v>381</v>
      </c>
      <c r="M313" s="1">
        <v>1</v>
      </c>
      <c r="N313" s="6" t="s">
        <v>381</v>
      </c>
      <c r="O313" s="7"/>
      <c r="P313" s="9">
        <f>IF(الصنف[[#This Row],[وحده المكونات]]="جرام",1,0)</f>
        <v>0</v>
      </c>
    </row>
    <row r="314" spans="2:16" ht="20.100000000000001" customHeight="1" x14ac:dyDescent="0.2">
      <c r="B314" s="4">
        <v>312</v>
      </c>
      <c r="C314" s="4">
        <v>2101005</v>
      </c>
      <c r="D314" s="2" t="s">
        <v>63</v>
      </c>
      <c r="E314" s="2" t="s">
        <v>63</v>
      </c>
      <c r="G314" s="1" t="str">
        <f>LEFT(الصنف[[#This Row],[تصنيف فرعي (2)]],4)</f>
        <v>2101</v>
      </c>
      <c r="H314" s="5" t="s">
        <v>1022</v>
      </c>
      <c r="I314" s="5" t="str">
        <f>LEFT(الصنف[[#This Row],[تصنيف فرعي (1)]],2)</f>
        <v>21</v>
      </c>
      <c r="J314" s="1" t="s">
        <v>675</v>
      </c>
      <c r="K314" s="1">
        <f>VLOOKUP(الصنف[[#This Row],[وحده القياس]],$S$4:$T$67,2,TRUE)</f>
        <v>14</v>
      </c>
      <c r="L314" s="1" t="s">
        <v>381</v>
      </c>
      <c r="M314" s="1">
        <v>1</v>
      </c>
      <c r="N314" s="6" t="s">
        <v>381</v>
      </c>
      <c r="O314" s="7"/>
      <c r="P314" s="9">
        <f>IF(الصنف[[#This Row],[وحده المكونات]]="جرام",1,0)</f>
        <v>0</v>
      </c>
    </row>
    <row r="315" spans="2:16" ht="20.100000000000001" customHeight="1" x14ac:dyDescent="0.2">
      <c r="B315" s="4">
        <v>313</v>
      </c>
      <c r="C315" s="4">
        <v>2101006</v>
      </c>
      <c r="D315" s="2" t="s">
        <v>411</v>
      </c>
      <c r="E315" s="2" t="s">
        <v>411</v>
      </c>
      <c r="G315" s="1" t="str">
        <f>LEFT(الصنف[[#This Row],[تصنيف فرعي (2)]],4)</f>
        <v>2101</v>
      </c>
      <c r="H315" s="5" t="s">
        <v>1022</v>
      </c>
      <c r="I315" s="5" t="str">
        <f>LEFT(الصنف[[#This Row],[تصنيف فرعي (1)]],2)</f>
        <v>21</v>
      </c>
      <c r="J315" s="1" t="s">
        <v>675</v>
      </c>
      <c r="K315" s="1">
        <f>VLOOKUP(الصنف[[#This Row],[وحده القياس]],$S$4:$T$67,2,TRUE)</f>
        <v>14</v>
      </c>
      <c r="L315" s="1" t="s">
        <v>381</v>
      </c>
      <c r="M315" s="1">
        <v>1</v>
      </c>
      <c r="N315" s="6" t="s">
        <v>381</v>
      </c>
      <c r="O315" s="7"/>
      <c r="P315" s="9">
        <f>IF(الصنف[[#This Row],[وحده المكونات]]="جرام",1,0)</f>
        <v>0</v>
      </c>
    </row>
    <row r="316" spans="2:16" ht="20.100000000000001" customHeight="1" x14ac:dyDescent="0.2">
      <c r="B316" s="4">
        <v>314</v>
      </c>
      <c r="C316" s="4">
        <v>2101007</v>
      </c>
      <c r="D316" s="2" t="s">
        <v>319</v>
      </c>
      <c r="E316" s="2" t="s">
        <v>319</v>
      </c>
      <c r="G316" s="1" t="str">
        <f>LEFT(الصنف[[#This Row],[تصنيف فرعي (2)]],4)</f>
        <v>2101</v>
      </c>
      <c r="H316" s="5" t="s">
        <v>1022</v>
      </c>
      <c r="I316" s="5" t="str">
        <f>LEFT(الصنف[[#This Row],[تصنيف فرعي (1)]],2)</f>
        <v>21</v>
      </c>
      <c r="J316" s="1" t="s">
        <v>675</v>
      </c>
      <c r="K316" s="1">
        <f>VLOOKUP(الصنف[[#This Row],[وحده القياس]],$S$4:$T$67,2,TRUE)</f>
        <v>14</v>
      </c>
      <c r="L316" s="1" t="s">
        <v>381</v>
      </c>
      <c r="M316" s="1">
        <v>1</v>
      </c>
      <c r="N316" s="6" t="s">
        <v>381</v>
      </c>
      <c r="O316" s="7"/>
      <c r="P316" s="9">
        <f>IF(الصنف[[#This Row],[وحده المكونات]]="جرام",1,0)</f>
        <v>0</v>
      </c>
    </row>
    <row r="317" spans="2:16" ht="20.100000000000001" customHeight="1" x14ac:dyDescent="0.2">
      <c r="B317" s="4">
        <v>315</v>
      </c>
      <c r="C317" s="4">
        <v>2102001</v>
      </c>
      <c r="D317" s="2" t="s">
        <v>595</v>
      </c>
      <c r="E317" s="2" t="s">
        <v>595</v>
      </c>
      <c r="G317" s="1" t="str">
        <f>LEFT(الصنف[[#This Row],[تصنيف فرعي (2)]],4)</f>
        <v>2102</v>
      </c>
      <c r="H317" s="5" t="s">
        <v>1023</v>
      </c>
      <c r="I317" s="5" t="str">
        <f>LEFT(الصنف[[#This Row],[تصنيف فرعي (1)]],2)</f>
        <v>21</v>
      </c>
      <c r="J317" s="1" t="s">
        <v>675</v>
      </c>
      <c r="K317" s="1">
        <f>VLOOKUP(الصنف[[#This Row],[وحده القياس]],$S$4:$T$67,2,TRUE)</f>
        <v>45</v>
      </c>
      <c r="L317" s="1" t="s">
        <v>387</v>
      </c>
      <c r="M317" s="1">
        <v>1</v>
      </c>
      <c r="N317" s="6" t="s">
        <v>387</v>
      </c>
      <c r="O317" s="7"/>
      <c r="P317" s="9">
        <f>IF(الصنف[[#This Row],[وحده المكونات]]="جرام",1,0)</f>
        <v>0</v>
      </c>
    </row>
    <row r="318" spans="2:16" ht="20.100000000000001" customHeight="1" x14ac:dyDescent="0.2">
      <c r="B318" s="4">
        <v>316</v>
      </c>
      <c r="C318" s="4">
        <v>2102002</v>
      </c>
      <c r="D318" s="2" t="s">
        <v>497</v>
      </c>
      <c r="E318" s="2" t="s">
        <v>497</v>
      </c>
      <c r="G318" s="1" t="str">
        <f>LEFT(الصنف[[#This Row],[تصنيف فرعي (2)]],4)</f>
        <v>2102</v>
      </c>
      <c r="H318" s="5" t="s">
        <v>1023</v>
      </c>
      <c r="I318" s="5" t="str">
        <f>LEFT(الصنف[[#This Row],[تصنيف فرعي (1)]],2)</f>
        <v>21</v>
      </c>
      <c r="J318" s="1" t="s">
        <v>675</v>
      </c>
      <c r="K318" s="1">
        <f>VLOOKUP(الصنف[[#This Row],[وحده القياس]],$S$4:$T$67,2,TRUE)</f>
        <v>14</v>
      </c>
      <c r="L318" s="1" t="s">
        <v>381</v>
      </c>
      <c r="M318" s="1">
        <v>1</v>
      </c>
      <c r="N318" s="6" t="s">
        <v>381</v>
      </c>
      <c r="O318" s="7"/>
      <c r="P318" s="9">
        <f>IF(الصنف[[#This Row],[وحده المكونات]]="جرام",1,0)</f>
        <v>0</v>
      </c>
    </row>
    <row r="319" spans="2:16" ht="20.100000000000001" customHeight="1" x14ac:dyDescent="0.2">
      <c r="B319" s="4">
        <v>317</v>
      </c>
      <c r="C319" s="4">
        <v>2102003</v>
      </c>
      <c r="D319" s="2" t="s">
        <v>58</v>
      </c>
      <c r="E319" s="2" t="s">
        <v>58</v>
      </c>
      <c r="G319" s="1" t="str">
        <f>LEFT(الصنف[[#This Row],[تصنيف فرعي (2)]],4)</f>
        <v>2102</v>
      </c>
      <c r="H319" s="5" t="s">
        <v>1023</v>
      </c>
      <c r="I319" s="5" t="str">
        <f>LEFT(الصنف[[#This Row],[تصنيف فرعي (1)]],2)</f>
        <v>21</v>
      </c>
      <c r="J319" s="1" t="s">
        <v>675</v>
      </c>
      <c r="K319" s="1">
        <f>VLOOKUP(الصنف[[#This Row],[وحده القياس]],$S$4:$T$67,2,TRUE)</f>
        <v>14</v>
      </c>
      <c r="L319" s="1" t="s">
        <v>381</v>
      </c>
      <c r="M319" s="1">
        <v>1</v>
      </c>
      <c r="N319" s="6" t="s">
        <v>381</v>
      </c>
      <c r="O319" s="7"/>
      <c r="P319" s="9">
        <f>IF(الصنف[[#This Row],[وحده المكونات]]="جرام",1,0)</f>
        <v>0</v>
      </c>
    </row>
    <row r="320" spans="2:16" ht="20.100000000000001" customHeight="1" x14ac:dyDescent="0.2">
      <c r="B320" s="4">
        <v>318</v>
      </c>
      <c r="C320" s="4">
        <v>2102004</v>
      </c>
      <c r="D320" s="2" t="s">
        <v>52</v>
      </c>
      <c r="E320" s="2" t="s">
        <v>52</v>
      </c>
      <c r="G320" s="1" t="str">
        <f>LEFT(الصنف[[#This Row],[تصنيف فرعي (2)]],4)</f>
        <v>2102</v>
      </c>
      <c r="H320" s="5" t="s">
        <v>1023</v>
      </c>
      <c r="I320" s="5" t="str">
        <f>LEFT(الصنف[[#This Row],[تصنيف فرعي (1)]],2)</f>
        <v>21</v>
      </c>
      <c r="J320" s="1" t="s">
        <v>675</v>
      </c>
      <c r="K320" s="1">
        <f>VLOOKUP(الصنف[[#This Row],[وحده القياس]],$S$4:$T$67,2,TRUE)</f>
        <v>45</v>
      </c>
      <c r="L320" s="1" t="s">
        <v>387</v>
      </c>
      <c r="M320" s="1">
        <v>1</v>
      </c>
      <c r="N320" s="6" t="s">
        <v>387</v>
      </c>
      <c r="O320" s="7"/>
      <c r="P320" s="9">
        <f>IF(الصنف[[#This Row],[وحده المكونات]]="جرام",1,0)</f>
        <v>0</v>
      </c>
    </row>
    <row r="321" spans="2:16" ht="20.100000000000001" customHeight="1" x14ac:dyDescent="0.2">
      <c r="B321" s="4">
        <v>319</v>
      </c>
      <c r="C321" s="4">
        <v>2102005</v>
      </c>
      <c r="D321" s="2" t="s">
        <v>60</v>
      </c>
      <c r="E321" s="2" t="s">
        <v>60</v>
      </c>
      <c r="G321" s="1" t="str">
        <f>LEFT(الصنف[[#This Row],[تصنيف فرعي (2)]],4)</f>
        <v>2102</v>
      </c>
      <c r="H321" s="5" t="s">
        <v>1023</v>
      </c>
      <c r="I321" s="5" t="str">
        <f>LEFT(الصنف[[#This Row],[تصنيف فرعي (1)]],2)</f>
        <v>21</v>
      </c>
      <c r="J321" s="1" t="s">
        <v>675</v>
      </c>
      <c r="K321" s="1">
        <f>VLOOKUP(الصنف[[#This Row],[وحده القياس]],$S$4:$T$67,2,TRUE)</f>
        <v>14</v>
      </c>
      <c r="L321" s="1" t="s">
        <v>381</v>
      </c>
      <c r="M321" s="1">
        <v>1</v>
      </c>
      <c r="N321" s="6" t="s">
        <v>381</v>
      </c>
      <c r="O321" s="7"/>
      <c r="P321" s="9">
        <f>IF(الصنف[[#This Row],[وحده المكونات]]="جرام",1,0)</f>
        <v>0</v>
      </c>
    </row>
    <row r="322" spans="2:16" ht="20.100000000000001" customHeight="1" x14ac:dyDescent="0.2">
      <c r="B322" s="4">
        <v>320</v>
      </c>
      <c r="C322" s="4">
        <v>2102006</v>
      </c>
      <c r="D322" s="2" t="s">
        <v>55</v>
      </c>
      <c r="E322" s="2" t="s">
        <v>55</v>
      </c>
      <c r="G322" s="1" t="str">
        <f>LEFT(الصنف[[#This Row],[تصنيف فرعي (2)]],4)</f>
        <v>2102</v>
      </c>
      <c r="H322" s="5" t="s">
        <v>1023</v>
      </c>
      <c r="I322" s="5" t="str">
        <f>LEFT(الصنف[[#This Row],[تصنيف فرعي (1)]],2)</f>
        <v>21</v>
      </c>
      <c r="J322" s="1" t="s">
        <v>675</v>
      </c>
      <c r="K322" s="1">
        <f>VLOOKUP(الصنف[[#This Row],[وحده القياس]],$S$4:$T$67,2,TRUE)</f>
        <v>45</v>
      </c>
      <c r="L322" s="1" t="s">
        <v>387</v>
      </c>
      <c r="M322" s="1">
        <v>1</v>
      </c>
      <c r="N322" s="6" t="s">
        <v>387</v>
      </c>
      <c r="O322" s="7"/>
      <c r="P322" s="9">
        <f>IF(الصنف[[#This Row],[وحده المكونات]]="جرام",1,0)</f>
        <v>0</v>
      </c>
    </row>
    <row r="323" spans="2:16" ht="20.100000000000001" customHeight="1" x14ac:dyDescent="0.2">
      <c r="B323" s="4">
        <v>321</v>
      </c>
      <c r="C323" s="4">
        <v>2102007</v>
      </c>
      <c r="D323" s="2" t="s">
        <v>410</v>
      </c>
      <c r="E323" s="2" t="s">
        <v>410</v>
      </c>
      <c r="G323" s="1" t="str">
        <f>LEFT(الصنف[[#This Row],[تصنيف فرعي (2)]],4)</f>
        <v>2102</v>
      </c>
      <c r="H323" s="5" t="s">
        <v>1023</v>
      </c>
      <c r="I323" s="5" t="str">
        <f>LEFT(الصنف[[#This Row],[تصنيف فرعي (1)]],2)</f>
        <v>21</v>
      </c>
      <c r="J323" s="1" t="s">
        <v>675</v>
      </c>
      <c r="K323" s="1">
        <f>VLOOKUP(الصنف[[#This Row],[وحده القياس]],$S$4:$T$67,2,TRUE)</f>
        <v>14</v>
      </c>
      <c r="L323" s="1" t="s">
        <v>381</v>
      </c>
      <c r="M323" s="1">
        <v>1</v>
      </c>
      <c r="N323" s="6" t="s">
        <v>381</v>
      </c>
      <c r="O323" s="7"/>
      <c r="P323" s="9">
        <f>IF(الصنف[[#This Row],[وحده المكونات]]="جرام",1,0)</f>
        <v>0</v>
      </c>
    </row>
    <row r="324" spans="2:16" ht="20.100000000000001" customHeight="1" x14ac:dyDescent="0.2">
      <c r="B324" s="4">
        <v>322</v>
      </c>
      <c r="C324" s="4">
        <v>2102008</v>
      </c>
      <c r="D324" s="2" t="s">
        <v>506</v>
      </c>
      <c r="E324" s="2" t="s">
        <v>506</v>
      </c>
      <c r="G324" s="1" t="str">
        <f>LEFT(الصنف[[#This Row],[تصنيف فرعي (2)]],4)</f>
        <v>2102</v>
      </c>
      <c r="H324" s="5" t="s">
        <v>1023</v>
      </c>
      <c r="I324" s="5" t="str">
        <f>LEFT(الصنف[[#This Row],[تصنيف فرعي (1)]],2)</f>
        <v>21</v>
      </c>
      <c r="J324" s="1" t="s">
        <v>675</v>
      </c>
      <c r="K324" s="1">
        <f>VLOOKUP(الصنف[[#This Row],[وحده القياس]],$S$4:$T$67,2,TRUE)</f>
        <v>14</v>
      </c>
      <c r="L324" s="1" t="s">
        <v>381</v>
      </c>
      <c r="M324" s="1">
        <v>1</v>
      </c>
      <c r="N324" s="6" t="s">
        <v>381</v>
      </c>
      <c r="O324" s="7"/>
      <c r="P324" s="9">
        <f>IF(الصنف[[#This Row],[وحده المكونات]]="جرام",1,0)</f>
        <v>0</v>
      </c>
    </row>
    <row r="325" spans="2:16" ht="20.100000000000001" customHeight="1" x14ac:dyDescent="0.2">
      <c r="B325" s="4">
        <v>323</v>
      </c>
      <c r="C325" s="4">
        <v>2102009</v>
      </c>
      <c r="D325" s="2" t="s">
        <v>54</v>
      </c>
      <c r="E325" s="2" t="s">
        <v>54</v>
      </c>
      <c r="G325" s="1" t="str">
        <f>LEFT(الصنف[[#This Row],[تصنيف فرعي (2)]],4)</f>
        <v>2102</v>
      </c>
      <c r="H325" s="5" t="s">
        <v>1023</v>
      </c>
      <c r="I325" s="5" t="str">
        <f>LEFT(الصنف[[#This Row],[تصنيف فرعي (1)]],2)</f>
        <v>21</v>
      </c>
      <c r="J325" s="1" t="s">
        <v>675</v>
      </c>
      <c r="K325" s="1">
        <f>VLOOKUP(الصنف[[#This Row],[وحده القياس]],$S$4:$T$67,2,TRUE)</f>
        <v>45</v>
      </c>
      <c r="L325" s="1" t="s">
        <v>387</v>
      </c>
      <c r="M325" s="1">
        <v>1</v>
      </c>
      <c r="N325" s="6" t="s">
        <v>387</v>
      </c>
      <c r="O325" s="7"/>
      <c r="P325" s="9">
        <f>IF(الصنف[[#This Row],[وحده المكونات]]="جرام",1,0)</f>
        <v>0</v>
      </c>
    </row>
    <row r="326" spans="2:16" ht="20.100000000000001" customHeight="1" x14ac:dyDescent="0.2">
      <c r="B326" s="4">
        <v>324</v>
      </c>
      <c r="C326" s="4">
        <v>2102010</v>
      </c>
      <c r="D326" s="2" t="s">
        <v>591</v>
      </c>
      <c r="E326" s="2" t="s">
        <v>591</v>
      </c>
      <c r="G326" s="1" t="str">
        <f>LEFT(الصنف[[#This Row],[تصنيف فرعي (2)]],4)</f>
        <v>2102</v>
      </c>
      <c r="H326" s="5" t="s">
        <v>1023</v>
      </c>
      <c r="I326" s="5" t="str">
        <f>LEFT(الصنف[[#This Row],[تصنيف فرعي (1)]],2)</f>
        <v>21</v>
      </c>
      <c r="J326" s="1" t="s">
        <v>675</v>
      </c>
      <c r="K326" s="1">
        <f>VLOOKUP(الصنف[[#This Row],[وحده القياس]],$S$4:$T$67,2,TRUE)</f>
        <v>14</v>
      </c>
      <c r="L326" s="1" t="s">
        <v>381</v>
      </c>
      <c r="M326" s="1">
        <v>1</v>
      </c>
      <c r="N326" s="6" t="s">
        <v>381</v>
      </c>
      <c r="O326" s="7"/>
      <c r="P326" s="9">
        <f>IF(الصنف[[#This Row],[وحده المكونات]]="جرام",1,0)</f>
        <v>0</v>
      </c>
    </row>
    <row r="327" spans="2:16" ht="20.100000000000001" customHeight="1" x14ac:dyDescent="0.2">
      <c r="B327" s="4">
        <v>325</v>
      </c>
      <c r="C327" s="4">
        <v>2102011</v>
      </c>
      <c r="D327" s="2" t="s">
        <v>59</v>
      </c>
      <c r="E327" s="2" t="s">
        <v>59</v>
      </c>
      <c r="G327" s="1" t="str">
        <f>LEFT(الصنف[[#This Row],[تصنيف فرعي (2)]],4)</f>
        <v>2102</v>
      </c>
      <c r="H327" s="5" t="s">
        <v>1023</v>
      </c>
      <c r="I327" s="5" t="str">
        <f>LEFT(الصنف[[#This Row],[تصنيف فرعي (1)]],2)</f>
        <v>21</v>
      </c>
      <c r="J327" s="1" t="s">
        <v>675</v>
      </c>
      <c r="K327" s="1">
        <f>VLOOKUP(الصنف[[#This Row],[وحده القياس]],$S$4:$T$67,2,TRUE)</f>
        <v>14</v>
      </c>
      <c r="L327" s="1" t="s">
        <v>381</v>
      </c>
      <c r="M327" s="1">
        <v>1</v>
      </c>
      <c r="N327" s="6" t="s">
        <v>381</v>
      </c>
      <c r="O327" s="7"/>
      <c r="P327" s="9">
        <f>IF(الصنف[[#This Row],[وحده المكونات]]="جرام",1,0)</f>
        <v>0</v>
      </c>
    </row>
    <row r="328" spans="2:16" ht="20.100000000000001" customHeight="1" x14ac:dyDescent="0.2">
      <c r="B328" s="4">
        <v>326</v>
      </c>
      <c r="C328" s="4">
        <v>2102012</v>
      </c>
      <c r="D328" s="2" t="s">
        <v>53</v>
      </c>
      <c r="E328" s="2" t="s">
        <v>53</v>
      </c>
      <c r="G328" s="1" t="str">
        <f>LEFT(الصنف[[#This Row],[تصنيف فرعي (2)]],4)</f>
        <v>2102</v>
      </c>
      <c r="H328" s="5" t="s">
        <v>1023</v>
      </c>
      <c r="I328" s="5" t="str">
        <f>LEFT(الصنف[[#This Row],[تصنيف فرعي (1)]],2)</f>
        <v>21</v>
      </c>
      <c r="J328" s="1" t="s">
        <v>675</v>
      </c>
      <c r="K328" s="1">
        <f>VLOOKUP(الصنف[[#This Row],[وحده القياس]],$S$4:$T$67,2,TRUE)</f>
        <v>45</v>
      </c>
      <c r="L328" s="1" t="s">
        <v>387</v>
      </c>
      <c r="M328" s="1">
        <v>1</v>
      </c>
      <c r="N328" s="6" t="s">
        <v>387</v>
      </c>
      <c r="O328" s="7"/>
      <c r="P328" s="9">
        <f>IF(الصنف[[#This Row],[وحده المكونات]]="جرام",1,0)</f>
        <v>0</v>
      </c>
    </row>
    <row r="329" spans="2:16" ht="20.100000000000001" customHeight="1" x14ac:dyDescent="0.2">
      <c r="B329" s="4">
        <v>327</v>
      </c>
      <c r="C329" s="4">
        <v>2102013</v>
      </c>
      <c r="D329" s="2" t="s">
        <v>860</v>
      </c>
      <c r="E329" s="2" t="s">
        <v>596</v>
      </c>
      <c r="G329" s="1" t="str">
        <f>LEFT(الصنف[[#This Row],[تصنيف فرعي (2)]],4)</f>
        <v>2102</v>
      </c>
      <c r="H329" s="5" t="s">
        <v>1023</v>
      </c>
      <c r="I329" s="5" t="str">
        <f>LEFT(الصنف[[#This Row],[تصنيف فرعي (1)]],2)</f>
        <v>21</v>
      </c>
      <c r="J329" s="1" t="s">
        <v>675</v>
      </c>
      <c r="K329" s="1">
        <f>VLOOKUP(الصنف[[#This Row],[وحده القياس]],$S$4:$T$67,2,TRUE)</f>
        <v>45</v>
      </c>
      <c r="L329" s="1" t="s">
        <v>387</v>
      </c>
      <c r="M329" s="1">
        <v>1</v>
      </c>
      <c r="N329" s="6" t="s">
        <v>387</v>
      </c>
      <c r="O329" s="7"/>
      <c r="P329" s="9">
        <f>IF(الصنف[[#This Row],[وحده المكونات]]="جرام",1,0)</f>
        <v>0</v>
      </c>
    </row>
    <row r="330" spans="2:16" ht="20.100000000000001" customHeight="1" x14ac:dyDescent="0.2">
      <c r="B330" s="4">
        <v>328</v>
      </c>
      <c r="C330" s="4">
        <v>2103001</v>
      </c>
      <c r="D330" s="2" t="s">
        <v>56</v>
      </c>
      <c r="E330" s="2" t="s">
        <v>56</v>
      </c>
      <c r="G330" s="1" t="str">
        <f>LEFT(الصنف[[#This Row],[تصنيف فرعي (2)]],4)</f>
        <v>2103</v>
      </c>
      <c r="H330" s="5" t="s">
        <v>1024</v>
      </c>
      <c r="I330" s="5" t="str">
        <f>LEFT(الصنف[[#This Row],[تصنيف فرعي (1)]],2)</f>
        <v>21</v>
      </c>
      <c r="J330" s="1" t="s">
        <v>675</v>
      </c>
      <c r="K330" s="1">
        <f>VLOOKUP(الصنف[[#This Row],[وحده القياس]],$S$4:$T$67,2,TRUE)</f>
        <v>45</v>
      </c>
      <c r="L330" s="1" t="s">
        <v>387</v>
      </c>
      <c r="M330" s="1">
        <v>1</v>
      </c>
      <c r="N330" s="6" t="s">
        <v>387</v>
      </c>
      <c r="O330" s="7"/>
      <c r="P330" s="9">
        <f>IF(الصنف[[#This Row],[وحده المكونات]]="جرام",1,0)</f>
        <v>0</v>
      </c>
    </row>
    <row r="331" spans="2:16" ht="20.100000000000001" customHeight="1" x14ac:dyDescent="0.2">
      <c r="B331" s="4">
        <v>329</v>
      </c>
      <c r="C331" s="4">
        <v>2103002</v>
      </c>
      <c r="D331" s="2" t="s">
        <v>57</v>
      </c>
      <c r="E331" s="2" t="s">
        <v>57</v>
      </c>
      <c r="G331" s="1" t="str">
        <f>LEFT(الصنف[[#This Row],[تصنيف فرعي (2)]],4)</f>
        <v>2103</v>
      </c>
      <c r="H331" s="5" t="s">
        <v>1024</v>
      </c>
      <c r="I331" s="5" t="str">
        <f>LEFT(الصنف[[#This Row],[تصنيف فرعي (1)]],2)</f>
        <v>21</v>
      </c>
      <c r="J331" s="1" t="s">
        <v>675</v>
      </c>
      <c r="K331" s="1">
        <f>VLOOKUP(الصنف[[#This Row],[وحده القياس]],$S$4:$T$67,2,TRUE)</f>
        <v>45</v>
      </c>
      <c r="L331" s="1" t="s">
        <v>387</v>
      </c>
      <c r="M331" s="1">
        <v>1</v>
      </c>
      <c r="N331" s="6" t="s">
        <v>387</v>
      </c>
      <c r="O331" s="7"/>
      <c r="P331" s="9">
        <f>IF(الصنف[[#This Row],[وحده المكونات]]="جرام",1,0)</f>
        <v>0</v>
      </c>
    </row>
    <row r="332" spans="2:16" ht="20.100000000000001" customHeight="1" x14ac:dyDescent="0.2">
      <c r="B332" s="4">
        <v>330</v>
      </c>
      <c r="C332" s="4">
        <v>3101001</v>
      </c>
      <c r="D332" s="2" t="s">
        <v>268</v>
      </c>
      <c r="E332" s="2" t="s">
        <v>268</v>
      </c>
      <c r="G332" s="1" t="str">
        <f>LEFT(الصنف[[#This Row],[تصنيف فرعي (2)]],4)</f>
        <v>3101</v>
      </c>
      <c r="H332" s="5" t="s">
        <v>1025</v>
      </c>
      <c r="I332" s="5" t="str">
        <f>LEFT(الصنف[[#This Row],[تصنيف فرعي (1)]],2)</f>
        <v>31</v>
      </c>
      <c r="J332" s="1" t="s">
        <v>673</v>
      </c>
      <c r="K332" s="1">
        <f>VLOOKUP(الصنف[[#This Row],[وحده القياس]],$S$4:$T$67,2,TRUE)</f>
        <v>43</v>
      </c>
      <c r="L332" s="1" t="s">
        <v>742</v>
      </c>
      <c r="M332" s="1">
        <v>1</v>
      </c>
      <c r="N332" s="6" t="s">
        <v>742</v>
      </c>
      <c r="O332" s="7"/>
      <c r="P332" s="9">
        <f>IF(الصنف[[#This Row],[وحده المكونات]]="جرام",1,0)</f>
        <v>0</v>
      </c>
    </row>
    <row r="333" spans="2:16" ht="20.100000000000001" customHeight="1" x14ac:dyDescent="0.2">
      <c r="B333" s="4">
        <v>331</v>
      </c>
      <c r="C333" s="4">
        <v>3101002</v>
      </c>
      <c r="D333" s="2" t="s">
        <v>377</v>
      </c>
      <c r="E333" s="2" t="s">
        <v>377</v>
      </c>
      <c r="G333" s="1" t="str">
        <f>LEFT(الصنف[[#This Row],[تصنيف فرعي (2)]],4)</f>
        <v>3101</v>
      </c>
      <c r="H333" s="5" t="s">
        <v>1025</v>
      </c>
      <c r="I333" s="5" t="str">
        <f>LEFT(الصنف[[#This Row],[تصنيف فرعي (1)]],2)</f>
        <v>31</v>
      </c>
      <c r="J333" s="1" t="s">
        <v>673</v>
      </c>
      <c r="K333" s="1">
        <f>VLOOKUP(الصنف[[#This Row],[وحده القياس]],$S$4:$T$67,2,TRUE)</f>
        <v>43</v>
      </c>
      <c r="L333" s="1" t="s">
        <v>742</v>
      </c>
      <c r="M333" s="1">
        <v>1</v>
      </c>
      <c r="N333" s="6" t="s">
        <v>742</v>
      </c>
      <c r="O333" s="7"/>
      <c r="P333" s="9">
        <f>IF(الصنف[[#This Row],[وحده المكونات]]="جرام",1,0)</f>
        <v>0</v>
      </c>
    </row>
    <row r="334" spans="2:16" ht="20.100000000000001" customHeight="1" x14ac:dyDescent="0.2">
      <c r="B334" s="4">
        <v>332</v>
      </c>
      <c r="C334" s="4">
        <v>3201001</v>
      </c>
      <c r="D334" s="2" t="s">
        <v>661</v>
      </c>
      <c r="E334" s="2" t="s">
        <v>661</v>
      </c>
      <c r="G334" s="1" t="str">
        <f>LEFT(الصنف[[#This Row],[تصنيف فرعي (2)]],4)</f>
        <v>3201</v>
      </c>
      <c r="H334" s="5" t="s">
        <v>1026</v>
      </c>
      <c r="I334" s="5" t="str">
        <f>LEFT(الصنف[[#This Row],[تصنيف فرعي (1)]],2)</f>
        <v>32</v>
      </c>
      <c r="J334" s="1" t="s">
        <v>676</v>
      </c>
      <c r="K334" s="1">
        <f>VLOOKUP(الصنف[[#This Row],[وحده القياس]],$S$4:$T$67,2,TRUE)</f>
        <v>43</v>
      </c>
      <c r="L334" s="1" t="s">
        <v>742</v>
      </c>
      <c r="M334" s="1">
        <v>1</v>
      </c>
      <c r="N334" s="6" t="s">
        <v>742</v>
      </c>
      <c r="O334" s="7"/>
      <c r="P334" s="9">
        <f>IF(الصنف[[#This Row],[وحده المكونات]]="جرام",1,0)</f>
        <v>0</v>
      </c>
    </row>
    <row r="335" spans="2:16" ht="20.100000000000001" customHeight="1" x14ac:dyDescent="0.2">
      <c r="B335" s="4">
        <v>333</v>
      </c>
      <c r="C335" s="4">
        <v>3201002</v>
      </c>
      <c r="D335" s="2" t="s">
        <v>95</v>
      </c>
      <c r="E335" s="2" t="s">
        <v>95</v>
      </c>
      <c r="G335" s="1" t="str">
        <f>LEFT(الصنف[[#This Row],[تصنيف فرعي (2)]],4)</f>
        <v>3201</v>
      </c>
      <c r="H335" s="5" t="s">
        <v>1026</v>
      </c>
      <c r="I335" s="5" t="str">
        <f>LEFT(الصنف[[#This Row],[تصنيف فرعي (1)]],2)</f>
        <v>32</v>
      </c>
      <c r="J335" s="1" t="s">
        <v>676</v>
      </c>
      <c r="K335" s="1">
        <f>VLOOKUP(الصنف[[#This Row],[وحده القياس]],$S$4:$T$67,2,TRUE)</f>
        <v>43</v>
      </c>
      <c r="L335" s="1" t="s">
        <v>742</v>
      </c>
      <c r="M335" s="1">
        <v>1</v>
      </c>
      <c r="N335" s="6" t="s">
        <v>742</v>
      </c>
      <c r="O335" s="7"/>
      <c r="P335" s="9">
        <f>IF(الصنف[[#This Row],[وحده المكونات]]="جرام",1,0)</f>
        <v>0</v>
      </c>
    </row>
    <row r="336" spans="2:16" ht="20.100000000000001" customHeight="1" x14ac:dyDescent="0.2">
      <c r="B336" s="4">
        <v>334</v>
      </c>
      <c r="C336" s="4">
        <v>3201003</v>
      </c>
      <c r="D336" s="2" t="s">
        <v>436</v>
      </c>
      <c r="E336" s="2" t="s">
        <v>436</v>
      </c>
      <c r="G336" s="1" t="str">
        <f>LEFT(الصنف[[#This Row],[تصنيف فرعي (2)]],4)</f>
        <v>3201</v>
      </c>
      <c r="H336" s="5" t="s">
        <v>1026</v>
      </c>
      <c r="I336" s="5" t="str">
        <f>LEFT(الصنف[[#This Row],[تصنيف فرعي (1)]],2)</f>
        <v>32</v>
      </c>
      <c r="J336" s="1" t="s">
        <v>676</v>
      </c>
      <c r="K336" s="1">
        <f>VLOOKUP(الصنف[[#This Row],[وحده القياس]],$S$4:$T$67,2,TRUE)</f>
        <v>43</v>
      </c>
      <c r="L336" s="1" t="s">
        <v>742</v>
      </c>
      <c r="M336" s="1">
        <v>1</v>
      </c>
      <c r="N336" s="6" t="s">
        <v>742</v>
      </c>
      <c r="O336" s="7"/>
      <c r="P336" s="9">
        <f>IF(الصنف[[#This Row],[وحده المكونات]]="جرام",1,0)</f>
        <v>0</v>
      </c>
    </row>
    <row r="337" spans="2:16" ht="20.100000000000001" customHeight="1" x14ac:dyDescent="0.2">
      <c r="B337" s="4">
        <v>335</v>
      </c>
      <c r="C337" s="4">
        <v>3201004</v>
      </c>
      <c r="D337" s="2" t="s">
        <v>320</v>
      </c>
      <c r="E337" s="2" t="s">
        <v>320</v>
      </c>
      <c r="G337" s="1" t="str">
        <f>LEFT(الصنف[[#This Row],[تصنيف فرعي (2)]],4)</f>
        <v>3201</v>
      </c>
      <c r="H337" s="5" t="s">
        <v>1026</v>
      </c>
      <c r="I337" s="5" t="str">
        <f>LEFT(الصنف[[#This Row],[تصنيف فرعي (1)]],2)</f>
        <v>32</v>
      </c>
      <c r="J337" s="1" t="s">
        <v>676</v>
      </c>
      <c r="K337" s="1">
        <f>VLOOKUP(الصنف[[#This Row],[وحده القياس]],$S$4:$T$67,2,TRUE)</f>
        <v>43</v>
      </c>
      <c r="L337" s="1" t="s">
        <v>742</v>
      </c>
      <c r="M337" s="1">
        <v>1</v>
      </c>
      <c r="N337" s="6" t="s">
        <v>742</v>
      </c>
      <c r="O337" s="7"/>
      <c r="P337" s="9">
        <f>IF(الصنف[[#This Row],[وحده المكونات]]="جرام",1,0)</f>
        <v>0</v>
      </c>
    </row>
    <row r="338" spans="2:16" ht="20.100000000000001" customHeight="1" x14ac:dyDescent="0.2">
      <c r="B338" s="4">
        <v>336</v>
      </c>
      <c r="C338" s="4">
        <v>3201005</v>
      </c>
      <c r="D338" s="2" t="s">
        <v>351</v>
      </c>
      <c r="E338" s="2" t="s">
        <v>351</v>
      </c>
      <c r="G338" s="1" t="str">
        <f>LEFT(الصنف[[#This Row],[تصنيف فرعي (2)]],4)</f>
        <v>3201</v>
      </c>
      <c r="H338" s="5" t="s">
        <v>1026</v>
      </c>
      <c r="I338" s="5" t="str">
        <f>LEFT(الصنف[[#This Row],[تصنيف فرعي (1)]],2)</f>
        <v>32</v>
      </c>
      <c r="J338" s="1" t="s">
        <v>676</v>
      </c>
      <c r="K338" s="1">
        <f>VLOOKUP(الصنف[[#This Row],[وحده القياس]],$S$4:$T$67,2,TRUE)</f>
        <v>43</v>
      </c>
      <c r="L338" s="1" t="s">
        <v>742</v>
      </c>
      <c r="M338" s="1">
        <v>1</v>
      </c>
      <c r="N338" s="6" t="s">
        <v>742</v>
      </c>
      <c r="O338" s="7"/>
      <c r="P338" s="9">
        <f>IF(الصنف[[#This Row],[وحده المكونات]]="جرام",1,0)</f>
        <v>0</v>
      </c>
    </row>
    <row r="339" spans="2:16" ht="20.100000000000001" customHeight="1" x14ac:dyDescent="0.2">
      <c r="B339" s="4">
        <v>337</v>
      </c>
      <c r="C339" s="4">
        <v>3201006</v>
      </c>
      <c r="D339" s="2" t="s">
        <v>567</v>
      </c>
      <c r="E339" s="2" t="s">
        <v>567</v>
      </c>
      <c r="G339" s="1" t="str">
        <f>LEFT(الصنف[[#This Row],[تصنيف فرعي (2)]],4)</f>
        <v>3201</v>
      </c>
      <c r="H339" s="5" t="s">
        <v>1026</v>
      </c>
      <c r="I339" s="5" t="str">
        <f>LEFT(الصنف[[#This Row],[تصنيف فرعي (1)]],2)</f>
        <v>32</v>
      </c>
      <c r="J339" s="1" t="s">
        <v>676</v>
      </c>
      <c r="K339" s="1">
        <f>VLOOKUP(الصنف[[#This Row],[وحده القياس]],$S$4:$T$67,2,TRUE)</f>
        <v>43</v>
      </c>
      <c r="L339" s="1" t="s">
        <v>742</v>
      </c>
      <c r="M339" s="1">
        <v>1</v>
      </c>
      <c r="N339" s="6" t="s">
        <v>742</v>
      </c>
      <c r="O339" s="7"/>
      <c r="P339" s="9">
        <f>IF(الصنف[[#This Row],[وحده المكونات]]="جرام",1,0)</f>
        <v>0</v>
      </c>
    </row>
    <row r="340" spans="2:16" ht="20.100000000000001" customHeight="1" x14ac:dyDescent="0.2">
      <c r="B340" s="4">
        <v>338</v>
      </c>
      <c r="C340" s="4">
        <v>3201007</v>
      </c>
      <c r="D340" s="2" t="s">
        <v>96</v>
      </c>
      <c r="E340" s="2" t="s">
        <v>96</v>
      </c>
      <c r="G340" s="1" t="str">
        <f>LEFT(الصنف[[#This Row],[تصنيف فرعي (2)]],4)</f>
        <v>3201</v>
      </c>
      <c r="H340" s="5" t="s">
        <v>1026</v>
      </c>
      <c r="I340" s="5" t="str">
        <f>LEFT(الصنف[[#This Row],[تصنيف فرعي (1)]],2)</f>
        <v>32</v>
      </c>
      <c r="J340" s="1" t="s">
        <v>676</v>
      </c>
      <c r="K340" s="1">
        <f>VLOOKUP(الصنف[[#This Row],[وحده القياس]],$S$4:$T$67,2,TRUE)</f>
        <v>43</v>
      </c>
      <c r="L340" s="1" t="s">
        <v>742</v>
      </c>
      <c r="M340" s="1">
        <v>1</v>
      </c>
      <c r="N340" s="6" t="s">
        <v>742</v>
      </c>
      <c r="O340" s="7"/>
      <c r="P340" s="9">
        <f>IF(الصنف[[#This Row],[وحده المكونات]]="جرام",1,0)</f>
        <v>0</v>
      </c>
    </row>
    <row r="341" spans="2:16" ht="20.100000000000001" customHeight="1" x14ac:dyDescent="0.2">
      <c r="B341" s="4">
        <v>339</v>
      </c>
      <c r="C341" s="4">
        <v>3201008</v>
      </c>
      <c r="D341" s="2" t="s">
        <v>437</v>
      </c>
      <c r="E341" s="2" t="s">
        <v>437</v>
      </c>
      <c r="G341" s="1" t="str">
        <f>LEFT(الصنف[[#This Row],[تصنيف فرعي (2)]],4)</f>
        <v>3201</v>
      </c>
      <c r="H341" s="5" t="s">
        <v>1026</v>
      </c>
      <c r="I341" s="5" t="str">
        <f>LEFT(الصنف[[#This Row],[تصنيف فرعي (1)]],2)</f>
        <v>32</v>
      </c>
      <c r="J341" s="1" t="s">
        <v>676</v>
      </c>
      <c r="K341" s="1">
        <f>VLOOKUP(الصنف[[#This Row],[وحده القياس]],$S$4:$T$67,2,TRUE)</f>
        <v>43</v>
      </c>
      <c r="L341" s="1" t="s">
        <v>742</v>
      </c>
      <c r="M341" s="1">
        <v>1</v>
      </c>
      <c r="N341" s="6" t="s">
        <v>742</v>
      </c>
      <c r="O341" s="7"/>
      <c r="P341" s="9">
        <f>IF(الصنف[[#This Row],[وحده المكونات]]="جرام",1,0)</f>
        <v>0</v>
      </c>
    </row>
    <row r="342" spans="2:16" ht="20.100000000000001" customHeight="1" x14ac:dyDescent="0.2">
      <c r="B342" s="4">
        <v>340</v>
      </c>
      <c r="C342" s="4">
        <v>3201009</v>
      </c>
      <c r="D342" s="2" t="s">
        <v>98</v>
      </c>
      <c r="E342" s="2" t="s">
        <v>98</v>
      </c>
      <c r="G342" s="1" t="str">
        <f>LEFT(الصنف[[#This Row],[تصنيف فرعي (2)]],4)</f>
        <v>3201</v>
      </c>
      <c r="H342" s="5" t="s">
        <v>1026</v>
      </c>
      <c r="I342" s="5" t="str">
        <f>LEFT(الصنف[[#This Row],[تصنيف فرعي (1)]],2)</f>
        <v>32</v>
      </c>
      <c r="J342" s="1" t="s">
        <v>676</v>
      </c>
      <c r="K342" s="1">
        <f>VLOOKUP(الصنف[[#This Row],[وحده القياس]],$S$4:$T$67,2,TRUE)</f>
        <v>43</v>
      </c>
      <c r="L342" s="1" t="s">
        <v>742</v>
      </c>
      <c r="M342" s="1">
        <v>1</v>
      </c>
      <c r="N342" s="6" t="s">
        <v>742</v>
      </c>
      <c r="O342" s="7"/>
      <c r="P342" s="9">
        <f>IF(الصنف[[#This Row],[وحده المكونات]]="جرام",1,0)</f>
        <v>0</v>
      </c>
    </row>
    <row r="343" spans="2:16" ht="20.100000000000001" customHeight="1" x14ac:dyDescent="0.2">
      <c r="B343" s="4">
        <v>341</v>
      </c>
      <c r="C343" s="4">
        <v>3201010</v>
      </c>
      <c r="D343" s="2" t="s">
        <v>94</v>
      </c>
      <c r="E343" s="2" t="s">
        <v>94</v>
      </c>
      <c r="G343" s="1" t="str">
        <f>LEFT(الصنف[[#This Row],[تصنيف فرعي (2)]],4)</f>
        <v>3201</v>
      </c>
      <c r="H343" s="5" t="s">
        <v>1026</v>
      </c>
      <c r="I343" s="5" t="str">
        <f>LEFT(الصنف[[#This Row],[تصنيف فرعي (1)]],2)</f>
        <v>32</v>
      </c>
      <c r="J343" s="1" t="s">
        <v>676</v>
      </c>
      <c r="K343" s="1">
        <f>VLOOKUP(الصنف[[#This Row],[وحده القياس]],$S$4:$T$67,2,TRUE)</f>
        <v>43</v>
      </c>
      <c r="L343" s="1" t="s">
        <v>742</v>
      </c>
      <c r="M343" s="1">
        <v>1</v>
      </c>
      <c r="N343" s="6" t="s">
        <v>742</v>
      </c>
      <c r="O343" s="7"/>
      <c r="P343" s="9">
        <f>IF(الصنف[[#This Row],[وحده المكونات]]="جرام",1,0)</f>
        <v>0</v>
      </c>
    </row>
    <row r="344" spans="2:16" ht="20.100000000000001" customHeight="1" x14ac:dyDescent="0.2">
      <c r="B344" s="4">
        <v>342</v>
      </c>
      <c r="C344" s="4">
        <v>3201011</v>
      </c>
      <c r="D344" s="2" t="s">
        <v>138</v>
      </c>
      <c r="E344" s="2" t="s">
        <v>138</v>
      </c>
      <c r="G344" s="1" t="str">
        <f>LEFT(الصنف[[#This Row],[تصنيف فرعي (2)]],4)</f>
        <v>3201</v>
      </c>
      <c r="H344" s="5" t="s">
        <v>1026</v>
      </c>
      <c r="I344" s="5" t="str">
        <f>LEFT(الصنف[[#This Row],[تصنيف فرعي (1)]],2)</f>
        <v>32</v>
      </c>
      <c r="J344" s="1" t="s">
        <v>676</v>
      </c>
      <c r="K344" s="1">
        <f>VLOOKUP(الصنف[[#This Row],[وحده القياس]],$S$4:$T$67,2,TRUE)</f>
        <v>43</v>
      </c>
      <c r="L344" s="1" t="s">
        <v>742</v>
      </c>
      <c r="M344" s="1">
        <v>1</v>
      </c>
      <c r="N344" s="6" t="s">
        <v>742</v>
      </c>
      <c r="O344" s="7"/>
      <c r="P344" s="9">
        <f>IF(الصنف[[#This Row],[وحده المكونات]]="جرام",1,0)</f>
        <v>0</v>
      </c>
    </row>
    <row r="345" spans="2:16" ht="20.100000000000001" customHeight="1" x14ac:dyDescent="0.2">
      <c r="B345" s="4">
        <v>343</v>
      </c>
      <c r="C345" s="4">
        <v>3201012</v>
      </c>
      <c r="D345" s="2" t="s">
        <v>92</v>
      </c>
      <c r="E345" s="2" t="s">
        <v>92</v>
      </c>
      <c r="G345" s="1" t="str">
        <f>LEFT(الصنف[[#This Row],[تصنيف فرعي (2)]],4)</f>
        <v>3201</v>
      </c>
      <c r="H345" s="5" t="s">
        <v>1026</v>
      </c>
      <c r="I345" s="5" t="str">
        <f>LEFT(الصنف[[#This Row],[تصنيف فرعي (1)]],2)</f>
        <v>32</v>
      </c>
      <c r="J345" s="1" t="s">
        <v>676</v>
      </c>
      <c r="K345" s="1">
        <f>VLOOKUP(الصنف[[#This Row],[وحده القياس]],$S$4:$T$67,2,TRUE)</f>
        <v>43</v>
      </c>
      <c r="L345" s="1" t="s">
        <v>742</v>
      </c>
      <c r="M345" s="1">
        <v>1</v>
      </c>
      <c r="N345" s="6" t="s">
        <v>742</v>
      </c>
      <c r="O345" s="7"/>
      <c r="P345" s="9">
        <f>IF(الصنف[[#This Row],[وحده المكونات]]="جرام",1,0)</f>
        <v>0</v>
      </c>
    </row>
    <row r="346" spans="2:16" ht="20.100000000000001" customHeight="1" x14ac:dyDescent="0.2">
      <c r="B346" s="4">
        <v>344</v>
      </c>
      <c r="C346" s="4">
        <v>3201013</v>
      </c>
      <c r="D346" s="2" t="s">
        <v>97</v>
      </c>
      <c r="E346" s="2" t="s">
        <v>97</v>
      </c>
      <c r="G346" s="1" t="str">
        <f>LEFT(الصنف[[#This Row],[تصنيف فرعي (2)]],4)</f>
        <v>3201</v>
      </c>
      <c r="H346" s="5" t="s">
        <v>1026</v>
      </c>
      <c r="I346" s="5" t="str">
        <f>LEFT(الصنف[[#This Row],[تصنيف فرعي (1)]],2)</f>
        <v>32</v>
      </c>
      <c r="J346" s="1" t="s">
        <v>676</v>
      </c>
      <c r="K346" s="1">
        <f>VLOOKUP(الصنف[[#This Row],[وحده القياس]],$S$4:$T$67,2,TRUE)</f>
        <v>43</v>
      </c>
      <c r="L346" s="1" t="s">
        <v>742</v>
      </c>
      <c r="M346" s="1">
        <v>1</v>
      </c>
      <c r="N346" s="6" t="s">
        <v>742</v>
      </c>
      <c r="O346" s="7"/>
      <c r="P346" s="9">
        <f>IF(الصنف[[#This Row],[وحده المكونات]]="جرام",1,0)</f>
        <v>0</v>
      </c>
    </row>
    <row r="347" spans="2:16" ht="20.100000000000001" customHeight="1" x14ac:dyDescent="0.2">
      <c r="B347" s="4">
        <v>345</v>
      </c>
      <c r="C347" s="4">
        <v>3202001</v>
      </c>
      <c r="D347" s="2" t="s">
        <v>435</v>
      </c>
      <c r="E347" s="2" t="s">
        <v>435</v>
      </c>
      <c r="G347" s="1" t="str">
        <f>LEFT(الصنف[[#This Row],[تصنيف فرعي (2)]],4)</f>
        <v>3202</v>
      </c>
      <c r="H347" s="5" t="s">
        <v>1027</v>
      </c>
      <c r="I347" s="5" t="str">
        <f>LEFT(الصنف[[#This Row],[تصنيف فرعي (1)]],2)</f>
        <v>32</v>
      </c>
      <c r="J347" s="1" t="s">
        <v>676</v>
      </c>
      <c r="K347" s="1">
        <f>VLOOKUP(الصنف[[#This Row],[وحده القياس]],$S$4:$T$67,2,TRUE)</f>
        <v>43</v>
      </c>
      <c r="L347" s="1" t="s">
        <v>742</v>
      </c>
      <c r="M347" s="1">
        <v>1</v>
      </c>
      <c r="N347" s="6" t="s">
        <v>742</v>
      </c>
      <c r="O347" s="7"/>
      <c r="P347" s="9">
        <f>IF(الصنف[[#This Row],[وحده المكونات]]="جرام",1,0)</f>
        <v>0</v>
      </c>
    </row>
    <row r="348" spans="2:16" ht="20.100000000000001" customHeight="1" x14ac:dyDescent="0.2">
      <c r="B348" s="4">
        <v>346</v>
      </c>
      <c r="C348" s="4">
        <v>3202002</v>
      </c>
      <c r="D348" s="2" t="s">
        <v>93</v>
      </c>
      <c r="E348" s="2" t="s">
        <v>93</v>
      </c>
      <c r="G348" s="1" t="str">
        <f>LEFT(الصنف[[#This Row],[تصنيف فرعي (2)]],4)</f>
        <v>3202</v>
      </c>
      <c r="H348" s="5" t="s">
        <v>1027</v>
      </c>
      <c r="I348" s="5" t="str">
        <f>LEFT(الصنف[[#This Row],[تصنيف فرعي (1)]],2)</f>
        <v>32</v>
      </c>
      <c r="J348" s="1" t="s">
        <v>676</v>
      </c>
      <c r="K348" s="1">
        <f>VLOOKUP(الصنف[[#This Row],[وحده القياس]],$S$4:$T$67,2,TRUE)</f>
        <v>43</v>
      </c>
      <c r="L348" s="1" t="s">
        <v>742</v>
      </c>
      <c r="M348" s="1">
        <v>1</v>
      </c>
      <c r="N348" s="6" t="s">
        <v>742</v>
      </c>
      <c r="O348" s="7"/>
      <c r="P348" s="9">
        <f>IF(الصنف[[#This Row],[وحده المكونات]]="جرام",1,0)</f>
        <v>0</v>
      </c>
    </row>
    <row r="349" spans="2:16" ht="20.100000000000001" customHeight="1" x14ac:dyDescent="0.2">
      <c r="B349" s="4">
        <v>347</v>
      </c>
      <c r="C349" s="4">
        <v>3202003</v>
      </c>
      <c r="D349" s="2" t="s">
        <v>911</v>
      </c>
      <c r="E349" s="2" t="s">
        <v>303</v>
      </c>
      <c r="G349" s="1" t="str">
        <f>LEFT(الصنف[[#This Row],[تصنيف فرعي (2)]],4)</f>
        <v>3202</v>
      </c>
      <c r="H349" s="5" t="s">
        <v>1027</v>
      </c>
      <c r="I349" s="5" t="str">
        <f>LEFT(الصنف[[#This Row],[تصنيف فرعي (1)]],2)</f>
        <v>32</v>
      </c>
      <c r="J349" s="1" t="s">
        <v>676</v>
      </c>
      <c r="K349" s="1">
        <f>VLOOKUP(الصنف[[#This Row],[وحده القياس]],$S$4:$T$67,2,TRUE)</f>
        <v>43</v>
      </c>
      <c r="L349" s="1" t="s">
        <v>742</v>
      </c>
      <c r="M349" s="1">
        <v>1</v>
      </c>
      <c r="N349" s="6" t="s">
        <v>742</v>
      </c>
      <c r="O349" s="7"/>
      <c r="P349" s="9">
        <f>IF(الصنف[[#This Row],[وحده المكونات]]="جرام",1,0)</f>
        <v>0</v>
      </c>
    </row>
    <row r="350" spans="2:16" ht="20.100000000000001" customHeight="1" x14ac:dyDescent="0.2">
      <c r="B350" s="4">
        <v>348</v>
      </c>
      <c r="C350" s="4">
        <v>3301001</v>
      </c>
      <c r="D350" s="2" t="s">
        <v>913</v>
      </c>
      <c r="E350" s="2" t="s">
        <v>632</v>
      </c>
      <c r="G350" s="1" t="str">
        <f>LEFT(الصنف[[#This Row],[تصنيف فرعي (2)]],4)</f>
        <v>3301</v>
      </c>
      <c r="H350" s="5" t="s">
        <v>1028</v>
      </c>
      <c r="I350" s="5" t="str">
        <f>LEFT(الصنف[[#This Row],[تصنيف فرعي (1)]],2)</f>
        <v>33</v>
      </c>
      <c r="J350" s="1" t="s">
        <v>665</v>
      </c>
      <c r="K350" s="1">
        <f>VLOOKUP(الصنف[[#This Row],[وحده القياس]],$S$4:$T$67,2,TRUE)</f>
        <v>60</v>
      </c>
      <c r="L350" s="1" t="s">
        <v>686</v>
      </c>
      <c r="M350" s="1">
        <v>1000</v>
      </c>
      <c r="N350" s="6" t="s">
        <v>678</v>
      </c>
      <c r="O350" s="7"/>
      <c r="P350" s="9">
        <f>IF(الصنف[[#This Row],[وحده المكونات]]="جرام",1,0)</f>
        <v>1</v>
      </c>
    </row>
    <row r="351" spans="2:16" ht="20.100000000000001" customHeight="1" x14ac:dyDescent="0.2">
      <c r="B351" s="4">
        <v>349</v>
      </c>
      <c r="C351" s="4">
        <v>3301002</v>
      </c>
      <c r="D351" s="2" t="s">
        <v>914</v>
      </c>
      <c r="E351" s="2" t="s">
        <v>433</v>
      </c>
      <c r="G351" s="1" t="str">
        <f>LEFT(الصنف[[#This Row],[تصنيف فرعي (2)]],4)</f>
        <v>3301</v>
      </c>
      <c r="H351" s="5" t="s">
        <v>1028</v>
      </c>
      <c r="I351" s="5" t="str">
        <f>LEFT(الصنف[[#This Row],[تصنيف فرعي (1)]],2)</f>
        <v>33</v>
      </c>
      <c r="J351" s="1" t="s">
        <v>665</v>
      </c>
      <c r="K351" s="1">
        <f>VLOOKUP(الصنف[[#This Row],[وحده القياس]],$S$4:$T$67,2,TRUE)</f>
        <v>60</v>
      </c>
      <c r="L351" s="1" t="s">
        <v>686</v>
      </c>
      <c r="M351" s="1">
        <v>1000</v>
      </c>
      <c r="N351" s="6" t="s">
        <v>678</v>
      </c>
      <c r="O351" s="7"/>
      <c r="P351" s="9">
        <f>IF(الصنف[[#This Row],[وحده المكونات]]="جرام",1,0)</f>
        <v>1</v>
      </c>
    </row>
    <row r="352" spans="2:16" ht="20.100000000000001" customHeight="1" x14ac:dyDescent="0.2">
      <c r="B352" s="4">
        <v>350</v>
      </c>
      <c r="C352" s="4">
        <v>3301003</v>
      </c>
      <c r="D352" s="2" t="s">
        <v>915</v>
      </c>
      <c r="E352" s="2" t="s">
        <v>348</v>
      </c>
      <c r="G352" s="1" t="str">
        <f>LEFT(الصنف[[#This Row],[تصنيف فرعي (2)]],4)</f>
        <v>3301</v>
      </c>
      <c r="H352" s="5" t="s">
        <v>1028</v>
      </c>
      <c r="I352" s="5" t="str">
        <f>LEFT(الصنف[[#This Row],[تصنيف فرعي (1)]],2)</f>
        <v>33</v>
      </c>
      <c r="J352" s="1" t="s">
        <v>665</v>
      </c>
      <c r="K352" s="1">
        <f>VLOOKUP(الصنف[[#This Row],[وحده القياس]],$S$4:$T$67,2,TRUE)</f>
        <v>60</v>
      </c>
      <c r="L352" s="1" t="s">
        <v>686</v>
      </c>
      <c r="M352" s="1">
        <v>1000</v>
      </c>
      <c r="N352" s="6" t="s">
        <v>678</v>
      </c>
      <c r="O352" s="7"/>
      <c r="P352" s="9">
        <f>IF(الصنف[[#This Row],[وحده المكونات]]="جرام",1,0)</f>
        <v>1</v>
      </c>
    </row>
    <row r="353" spans="2:16" ht="20.100000000000001" customHeight="1" x14ac:dyDescent="0.2">
      <c r="B353" s="4">
        <v>351</v>
      </c>
      <c r="C353" s="4">
        <v>3301004</v>
      </c>
      <c r="D353" s="2" t="s">
        <v>439</v>
      </c>
      <c r="E353" s="2" t="s">
        <v>439</v>
      </c>
      <c r="G353" s="1" t="str">
        <f>LEFT(الصنف[[#This Row],[تصنيف فرعي (2)]],4)</f>
        <v>3301</v>
      </c>
      <c r="H353" s="5" t="s">
        <v>1028</v>
      </c>
      <c r="I353" s="5" t="str">
        <f>LEFT(الصنف[[#This Row],[تصنيف فرعي (1)]],2)</f>
        <v>33</v>
      </c>
      <c r="J353" s="1" t="s">
        <v>665</v>
      </c>
      <c r="K353" s="1">
        <f>VLOOKUP(الصنف[[#This Row],[وحده القياس]],$S$4:$T$67,2,TRUE)</f>
        <v>43</v>
      </c>
      <c r="L353" s="1" t="s">
        <v>742</v>
      </c>
      <c r="M353" s="1">
        <v>1</v>
      </c>
      <c r="N353" s="6" t="s">
        <v>742</v>
      </c>
      <c r="O353" s="7"/>
      <c r="P353" s="9">
        <f>IF(الصنف[[#This Row],[وحده المكونات]]="جرام",1,0)</f>
        <v>0</v>
      </c>
    </row>
    <row r="354" spans="2:16" ht="20.100000000000001" customHeight="1" x14ac:dyDescent="0.2">
      <c r="B354" s="4">
        <v>352</v>
      </c>
      <c r="C354" s="4">
        <v>3301005</v>
      </c>
      <c r="D354" s="2" t="s">
        <v>633</v>
      </c>
      <c r="E354" s="2" t="s">
        <v>633</v>
      </c>
      <c r="G354" s="1" t="str">
        <f>LEFT(الصنف[[#This Row],[تصنيف فرعي (2)]],4)</f>
        <v>3301</v>
      </c>
      <c r="H354" s="5" t="s">
        <v>1028</v>
      </c>
      <c r="I354" s="5" t="str">
        <f>LEFT(الصنف[[#This Row],[تصنيف فرعي (1)]],2)</f>
        <v>33</v>
      </c>
      <c r="J354" s="1" t="s">
        <v>665</v>
      </c>
      <c r="K354" s="1">
        <f>VLOOKUP(الصنف[[#This Row],[وحده القياس]],$S$4:$T$67,2,TRUE)</f>
        <v>43</v>
      </c>
      <c r="L354" s="1" t="s">
        <v>742</v>
      </c>
      <c r="M354" s="1">
        <v>1</v>
      </c>
      <c r="N354" s="6" t="s">
        <v>742</v>
      </c>
      <c r="O354" s="7"/>
      <c r="P354" s="9">
        <f>IF(الصنف[[#This Row],[وحده المكونات]]="جرام",1,0)</f>
        <v>0</v>
      </c>
    </row>
    <row r="355" spans="2:16" ht="20.100000000000001" customHeight="1" x14ac:dyDescent="0.2">
      <c r="B355" s="4">
        <v>353</v>
      </c>
      <c r="C355" s="4">
        <v>3301006</v>
      </c>
      <c r="D355" s="2" t="s">
        <v>634</v>
      </c>
      <c r="E355" s="2" t="s">
        <v>634</v>
      </c>
      <c r="G355" s="1" t="str">
        <f>LEFT(الصنف[[#This Row],[تصنيف فرعي (2)]],4)</f>
        <v>3301</v>
      </c>
      <c r="H355" s="5" t="s">
        <v>1028</v>
      </c>
      <c r="I355" s="5" t="str">
        <f>LEFT(الصنف[[#This Row],[تصنيف فرعي (1)]],2)</f>
        <v>33</v>
      </c>
      <c r="J355" s="1" t="s">
        <v>665</v>
      </c>
      <c r="K355" s="1">
        <f>VLOOKUP(الصنف[[#This Row],[وحده القياس]],$S$4:$T$67,2,TRUE)</f>
        <v>43</v>
      </c>
      <c r="L355" s="1" t="s">
        <v>742</v>
      </c>
      <c r="M355" s="1">
        <v>1</v>
      </c>
      <c r="N355" s="6" t="s">
        <v>742</v>
      </c>
      <c r="O355" s="7"/>
      <c r="P355" s="9">
        <f>IF(الصنف[[#This Row],[وحده المكونات]]="جرام",1,0)</f>
        <v>0</v>
      </c>
    </row>
    <row r="356" spans="2:16" ht="20.100000000000001" customHeight="1" x14ac:dyDescent="0.2">
      <c r="B356" s="4">
        <v>354</v>
      </c>
      <c r="C356" s="4">
        <v>3301007</v>
      </c>
      <c r="D356" s="2" t="s">
        <v>635</v>
      </c>
      <c r="E356" s="2" t="s">
        <v>635</v>
      </c>
      <c r="G356" s="1" t="str">
        <f>LEFT(الصنف[[#This Row],[تصنيف فرعي (2)]],4)</f>
        <v>3301</v>
      </c>
      <c r="H356" s="5" t="s">
        <v>1028</v>
      </c>
      <c r="I356" s="5" t="str">
        <f>LEFT(الصنف[[#This Row],[تصنيف فرعي (1)]],2)</f>
        <v>33</v>
      </c>
      <c r="J356" s="1" t="s">
        <v>665</v>
      </c>
      <c r="K356" s="1">
        <f>VLOOKUP(الصنف[[#This Row],[وحده القياس]],$S$4:$T$67,2,TRUE)</f>
        <v>43</v>
      </c>
      <c r="L356" s="1" t="s">
        <v>742</v>
      </c>
      <c r="M356" s="1">
        <v>1</v>
      </c>
      <c r="N356" s="6" t="s">
        <v>742</v>
      </c>
      <c r="O356" s="7"/>
      <c r="P356" s="9">
        <f>IF(الصنف[[#This Row],[وحده المكونات]]="جرام",1,0)</f>
        <v>0</v>
      </c>
    </row>
    <row r="357" spans="2:16" ht="20.100000000000001" customHeight="1" x14ac:dyDescent="0.2">
      <c r="B357" s="4">
        <v>355</v>
      </c>
      <c r="C357" s="4">
        <v>3301008</v>
      </c>
      <c r="D357" s="2" t="s">
        <v>636</v>
      </c>
      <c r="E357" s="2" t="s">
        <v>636</v>
      </c>
      <c r="G357" s="1" t="str">
        <f>LEFT(الصنف[[#This Row],[تصنيف فرعي (2)]],4)</f>
        <v>3301</v>
      </c>
      <c r="H357" s="5" t="s">
        <v>1028</v>
      </c>
      <c r="I357" s="5" t="str">
        <f>LEFT(الصنف[[#This Row],[تصنيف فرعي (1)]],2)</f>
        <v>33</v>
      </c>
      <c r="J357" s="1" t="s">
        <v>665</v>
      </c>
      <c r="K357" s="1">
        <f>VLOOKUP(الصنف[[#This Row],[وحده القياس]],$S$4:$T$67,2,TRUE)</f>
        <v>43</v>
      </c>
      <c r="L357" s="1" t="s">
        <v>742</v>
      </c>
      <c r="M357" s="1">
        <v>1</v>
      </c>
      <c r="N357" s="6" t="s">
        <v>742</v>
      </c>
      <c r="O357" s="7"/>
      <c r="P357" s="9">
        <f>IF(الصنف[[#This Row],[وحده المكونات]]="جرام",1,0)</f>
        <v>0</v>
      </c>
    </row>
    <row r="358" spans="2:16" ht="20.100000000000001" customHeight="1" x14ac:dyDescent="0.2">
      <c r="B358" s="4">
        <v>356</v>
      </c>
      <c r="C358" s="4">
        <v>3301009</v>
      </c>
      <c r="D358" s="2" t="s">
        <v>637</v>
      </c>
      <c r="E358" s="2" t="s">
        <v>637</v>
      </c>
      <c r="G358" s="1" t="str">
        <f>LEFT(الصنف[[#This Row],[تصنيف فرعي (2)]],4)</f>
        <v>3301</v>
      </c>
      <c r="H358" s="5" t="s">
        <v>1028</v>
      </c>
      <c r="I358" s="5" t="str">
        <f>LEFT(الصنف[[#This Row],[تصنيف فرعي (1)]],2)</f>
        <v>33</v>
      </c>
      <c r="J358" s="1" t="s">
        <v>665</v>
      </c>
      <c r="K358" s="1">
        <f>VLOOKUP(الصنف[[#This Row],[وحده القياس]],$S$4:$T$67,2,TRUE)</f>
        <v>43</v>
      </c>
      <c r="L358" s="1" t="s">
        <v>742</v>
      </c>
      <c r="M358" s="1">
        <v>1</v>
      </c>
      <c r="N358" s="6" t="s">
        <v>742</v>
      </c>
      <c r="O358" s="7"/>
      <c r="P358" s="9">
        <f>IF(الصنف[[#This Row],[وحده المكونات]]="جرام",1,0)</f>
        <v>0</v>
      </c>
    </row>
    <row r="359" spans="2:16" ht="20.100000000000001" customHeight="1" x14ac:dyDescent="0.2">
      <c r="B359" s="4">
        <v>357</v>
      </c>
      <c r="C359" s="4">
        <v>3301010</v>
      </c>
      <c r="D359" s="2" t="s">
        <v>350</v>
      </c>
      <c r="E359" s="2" t="s">
        <v>350</v>
      </c>
      <c r="G359" s="1" t="str">
        <f>LEFT(الصنف[[#This Row],[تصنيف فرعي (2)]],4)</f>
        <v>3301</v>
      </c>
      <c r="H359" s="5" t="s">
        <v>1028</v>
      </c>
      <c r="I359" s="5" t="str">
        <f>LEFT(الصنف[[#This Row],[تصنيف فرعي (1)]],2)</f>
        <v>33</v>
      </c>
      <c r="J359" s="1" t="s">
        <v>665</v>
      </c>
      <c r="K359" s="1">
        <f>VLOOKUP(الصنف[[#This Row],[وحده القياس]],$S$4:$T$67,2,TRUE)</f>
        <v>43</v>
      </c>
      <c r="L359" s="1" t="s">
        <v>742</v>
      </c>
      <c r="M359" s="1">
        <v>1</v>
      </c>
      <c r="N359" s="6" t="s">
        <v>742</v>
      </c>
      <c r="O359" s="7"/>
      <c r="P359" s="9">
        <f>IF(الصنف[[#This Row],[وحده المكونات]]="جرام",1,0)</f>
        <v>0</v>
      </c>
    </row>
    <row r="360" spans="2:16" ht="20.100000000000001" customHeight="1" x14ac:dyDescent="0.2">
      <c r="B360" s="4">
        <v>358</v>
      </c>
      <c r="C360" s="4">
        <v>3301011</v>
      </c>
      <c r="D360" s="2" t="s">
        <v>638</v>
      </c>
      <c r="E360" s="2" t="s">
        <v>638</v>
      </c>
      <c r="G360" s="1" t="str">
        <f>LEFT(الصنف[[#This Row],[تصنيف فرعي (2)]],4)</f>
        <v>3301</v>
      </c>
      <c r="H360" s="5" t="s">
        <v>1028</v>
      </c>
      <c r="I360" s="5" t="str">
        <f>LEFT(الصنف[[#This Row],[تصنيف فرعي (1)]],2)</f>
        <v>33</v>
      </c>
      <c r="J360" s="1" t="s">
        <v>665</v>
      </c>
      <c r="K360" s="1">
        <f>VLOOKUP(الصنف[[#This Row],[وحده القياس]],$S$4:$T$67,2,TRUE)</f>
        <v>43</v>
      </c>
      <c r="L360" s="1" t="s">
        <v>742</v>
      </c>
      <c r="M360" s="1">
        <v>1</v>
      </c>
      <c r="N360" s="6" t="s">
        <v>742</v>
      </c>
      <c r="O360" s="7"/>
      <c r="P360" s="9">
        <f>IF(الصنف[[#This Row],[وحده المكونات]]="جرام",1,0)</f>
        <v>0</v>
      </c>
    </row>
    <row r="361" spans="2:16" ht="20.100000000000001" customHeight="1" x14ac:dyDescent="0.2">
      <c r="B361" s="4">
        <v>359</v>
      </c>
      <c r="C361" s="4">
        <v>3301012</v>
      </c>
      <c r="D361" s="2" t="s">
        <v>639</v>
      </c>
      <c r="E361" s="2" t="s">
        <v>639</v>
      </c>
      <c r="G361" s="1" t="str">
        <f>LEFT(الصنف[[#This Row],[تصنيف فرعي (2)]],4)</f>
        <v>3301</v>
      </c>
      <c r="H361" s="5" t="s">
        <v>1028</v>
      </c>
      <c r="I361" s="5" t="str">
        <f>LEFT(الصنف[[#This Row],[تصنيف فرعي (1)]],2)</f>
        <v>33</v>
      </c>
      <c r="J361" s="1" t="s">
        <v>665</v>
      </c>
      <c r="K361" s="1">
        <f>VLOOKUP(الصنف[[#This Row],[وحده القياس]],$S$4:$T$67,2,TRUE)</f>
        <v>43</v>
      </c>
      <c r="L361" s="1" t="s">
        <v>742</v>
      </c>
      <c r="M361" s="1">
        <v>1</v>
      </c>
      <c r="N361" s="6" t="s">
        <v>742</v>
      </c>
      <c r="O361" s="7"/>
      <c r="P361" s="9">
        <f>IF(الصنف[[#This Row],[وحده المكونات]]="جرام",1,0)</f>
        <v>0</v>
      </c>
    </row>
    <row r="362" spans="2:16" ht="20.100000000000001" customHeight="1" x14ac:dyDescent="0.2">
      <c r="B362" s="4">
        <v>360</v>
      </c>
      <c r="C362" s="4">
        <v>3301013</v>
      </c>
      <c r="D362" s="2" t="s">
        <v>78</v>
      </c>
      <c r="E362" s="2" t="s">
        <v>78</v>
      </c>
      <c r="G362" s="1" t="str">
        <f>LEFT(الصنف[[#This Row],[تصنيف فرعي (2)]],4)</f>
        <v>3301</v>
      </c>
      <c r="H362" s="5" t="s">
        <v>1028</v>
      </c>
      <c r="I362" s="5" t="str">
        <f>LEFT(الصنف[[#This Row],[تصنيف فرعي (1)]],2)</f>
        <v>33</v>
      </c>
      <c r="J362" s="1" t="s">
        <v>665</v>
      </c>
      <c r="K362" s="1">
        <f>VLOOKUP(الصنف[[#This Row],[وحده القياس]],$S$4:$T$67,2,TRUE)</f>
        <v>43</v>
      </c>
      <c r="L362" s="1" t="s">
        <v>742</v>
      </c>
      <c r="M362" s="1">
        <v>1</v>
      </c>
      <c r="N362" s="6" t="s">
        <v>742</v>
      </c>
      <c r="O362" s="7"/>
      <c r="P362" s="9">
        <f>IF(الصنف[[#This Row],[وحده المكونات]]="جرام",1,0)</f>
        <v>0</v>
      </c>
    </row>
    <row r="363" spans="2:16" ht="20.100000000000001" customHeight="1" x14ac:dyDescent="0.2">
      <c r="B363" s="4">
        <v>361</v>
      </c>
      <c r="C363" s="4">
        <v>3301014</v>
      </c>
      <c r="D363" s="2" t="s">
        <v>340</v>
      </c>
      <c r="E363" s="2" t="s">
        <v>340</v>
      </c>
      <c r="G363" s="1" t="str">
        <f>LEFT(الصنف[[#This Row],[تصنيف فرعي (2)]],4)</f>
        <v>3301</v>
      </c>
      <c r="H363" s="5" t="s">
        <v>1028</v>
      </c>
      <c r="I363" s="5" t="str">
        <f>LEFT(الصنف[[#This Row],[تصنيف فرعي (1)]],2)</f>
        <v>33</v>
      </c>
      <c r="J363" s="1" t="s">
        <v>665</v>
      </c>
      <c r="K363" s="1">
        <f>VLOOKUP(الصنف[[#This Row],[وحده القياس]],$S$4:$T$67,2,TRUE)</f>
        <v>43</v>
      </c>
      <c r="L363" s="1" t="s">
        <v>742</v>
      </c>
      <c r="M363" s="1">
        <v>1</v>
      </c>
      <c r="N363" s="6" t="s">
        <v>742</v>
      </c>
      <c r="O363" s="7"/>
      <c r="P363" s="9">
        <f>IF(الصنف[[#This Row],[وحده المكونات]]="جرام",1,0)</f>
        <v>0</v>
      </c>
    </row>
    <row r="364" spans="2:16" ht="20.100000000000001" customHeight="1" x14ac:dyDescent="0.2">
      <c r="B364" s="4">
        <v>362</v>
      </c>
      <c r="C364" s="4">
        <v>3301015</v>
      </c>
      <c r="D364" s="2" t="s">
        <v>181</v>
      </c>
      <c r="E364" s="2" t="s">
        <v>181</v>
      </c>
      <c r="G364" s="1" t="str">
        <f>LEFT(الصنف[[#This Row],[تصنيف فرعي (2)]],4)</f>
        <v>3301</v>
      </c>
      <c r="H364" s="5" t="s">
        <v>1028</v>
      </c>
      <c r="I364" s="5" t="str">
        <f>LEFT(الصنف[[#This Row],[تصنيف فرعي (1)]],2)</f>
        <v>33</v>
      </c>
      <c r="J364" s="1" t="s">
        <v>665</v>
      </c>
      <c r="K364" s="1">
        <f>VLOOKUP(الصنف[[#This Row],[وحده القياس]],$S$4:$T$67,2,TRUE)</f>
        <v>43</v>
      </c>
      <c r="L364" s="1" t="s">
        <v>742</v>
      </c>
      <c r="M364" s="1">
        <v>1</v>
      </c>
      <c r="N364" s="6" t="s">
        <v>742</v>
      </c>
      <c r="O364" s="7"/>
      <c r="P364" s="9">
        <f>IF(الصنف[[#This Row],[وحده المكونات]]="جرام",1,0)</f>
        <v>0</v>
      </c>
    </row>
    <row r="365" spans="2:16" ht="20.100000000000001" customHeight="1" x14ac:dyDescent="0.2">
      <c r="B365" s="4">
        <v>363</v>
      </c>
      <c r="C365" s="4">
        <v>3301016</v>
      </c>
      <c r="D365" s="2" t="s">
        <v>99</v>
      </c>
      <c r="E365" s="2" t="s">
        <v>99</v>
      </c>
      <c r="G365" s="1" t="str">
        <f>LEFT(الصنف[[#This Row],[تصنيف فرعي (2)]],4)</f>
        <v>3301</v>
      </c>
      <c r="H365" s="5" t="s">
        <v>1028</v>
      </c>
      <c r="I365" s="5" t="str">
        <f>LEFT(الصنف[[#This Row],[تصنيف فرعي (1)]],2)</f>
        <v>33</v>
      </c>
      <c r="J365" s="1" t="s">
        <v>665</v>
      </c>
      <c r="K365" s="1">
        <f>VLOOKUP(الصنف[[#This Row],[وحده القياس]],$S$4:$T$67,2,TRUE)</f>
        <v>43</v>
      </c>
      <c r="L365" s="1" t="s">
        <v>742</v>
      </c>
      <c r="M365" s="1">
        <v>1</v>
      </c>
      <c r="N365" s="6" t="s">
        <v>742</v>
      </c>
      <c r="O365" s="7"/>
      <c r="P365" s="9">
        <f>IF(الصنف[[#This Row],[وحده المكونات]]="جرام",1,0)</f>
        <v>0</v>
      </c>
    </row>
    <row r="366" spans="2:16" ht="20.100000000000001" customHeight="1" x14ac:dyDescent="0.2">
      <c r="B366" s="4">
        <v>364</v>
      </c>
      <c r="C366" s="4">
        <v>3301017</v>
      </c>
      <c r="D366" s="2" t="s">
        <v>88</v>
      </c>
      <c r="E366" s="2" t="s">
        <v>88</v>
      </c>
      <c r="G366" s="1" t="str">
        <f>LEFT(الصنف[[#This Row],[تصنيف فرعي (2)]],4)</f>
        <v>3301</v>
      </c>
      <c r="H366" s="5" t="s">
        <v>1028</v>
      </c>
      <c r="I366" s="5" t="str">
        <f>LEFT(الصنف[[#This Row],[تصنيف فرعي (1)]],2)</f>
        <v>33</v>
      </c>
      <c r="J366" s="1" t="s">
        <v>665</v>
      </c>
      <c r="K366" s="1">
        <f>VLOOKUP(الصنف[[#This Row],[وحده القياس]],$S$4:$T$67,2,TRUE)</f>
        <v>43</v>
      </c>
      <c r="L366" s="1" t="s">
        <v>742</v>
      </c>
      <c r="M366" s="1">
        <v>1</v>
      </c>
      <c r="N366" s="6" t="s">
        <v>742</v>
      </c>
      <c r="O366" s="7"/>
      <c r="P366" s="9">
        <f>IF(الصنف[[#This Row],[وحده المكونات]]="جرام",1,0)</f>
        <v>0</v>
      </c>
    </row>
    <row r="367" spans="2:16" ht="20.100000000000001" customHeight="1" x14ac:dyDescent="0.2">
      <c r="B367" s="4">
        <v>365</v>
      </c>
      <c r="C367" s="4">
        <v>3301018</v>
      </c>
      <c r="D367" s="2" t="s">
        <v>177</v>
      </c>
      <c r="E367" s="2" t="s">
        <v>177</v>
      </c>
      <c r="G367" s="1" t="str">
        <f>LEFT(الصنف[[#This Row],[تصنيف فرعي (2)]],4)</f>
        <v>3301</v>
      </c>
      <c r="H367" s="5" t="s">
        <v>1028</v>
      </c>
      <c r="I367" s="5" t="str">
        <f>LEFT(الصنف[[#This Row],[تصنيف فرعي (1)]],2)</f>
        <v>33</v>
      </c>
      <c r="J367" s="1" t="s">
        <v>665</v>
      </c>
      <c r="K367" s="1">
        <f>VLOOKUP(الصنف[[#This Row],[وحده القياس]],$S$4:$T$67,2,TRUE)</f>
        <v>43</v>
      </c>
      <c r="L367" s="1" t="s">
        <v>742</v>
      </c>
      <c r="M367" s="1">
        <v>1</v>
      </c>
      <c r="N367" s="6" t="s">
        <v>742</v>
      </c>
      <c r="O367" s="7"/>
      <c r="P367" s="9">
        <f>IF(الصنف[[#This Row],[وحده المكونات]]="جرام",1,0)</f>
        <v>0</v>
      </c>
    </row>
    <row r="368" spans="2:16" ht="20.100000000000001" customHeight="1" x14ac:dyDescent="0.2">
      <c r="B368" s="4">
        <v>366</v>
      </c>
      <c r="C368" s="4">
        <v>3301019</v>
      </c>
      <c r="D368" s="2" t="s">
        <v>504</v>
      </c>
      <c r="E368" s="2" t="s">
        <v>504</v>
      </c>
      <c r="G368" s="1" t="str">
        <f>LEFT(الصنف[[#This Row],[تصنيف فرعي (2)]],4)</f>
        <v>3301</v>
      </c>
      <c r="H368" s="5" t="s">
        <v>1028</v>
      </c>
      <c r="I368" s="5" t="str">
        <f>LEFT(الصنف[[#This Row],[تصنيف فرعي (1)]],2)</f>
        <v>33</v>
      </c>
      <c r="J368" s="1" t="s">
        <v>665</v>
      </c>
      <c r="K368" s="1">
        <f>VLOOKUP(الصنف[[#This Row],[وحده القياس]],$S$4:$T$67,2,TRUE)</f>
        <v>43</v>
      </c>
      <c r="L368" s="1" t="s">
        <v>742</v>
      </c>
      <c r="M368" s="1">
        <v>1</v>
      </c>
      <c r="N368" s="6" t="s">
        <v>742</v>
      </c>
      <c r="O368" s="7"/>
      <c r="P368" s="9">
        <f>IF(الصنف[[#This Row],[وحده المكونات]]="جرام",1,0)</f>
        <v>0</v>
      </c>
    </row>
    <row r="369" spans="2:16" ht="20.100000000000001" customHeight="1" x14ac:dyDescent="0.2">
      <c r="B369" s="4">
        <v>367</v>
      </c>
      <c r="C369" s="4">
        <v>3301020</v>
      </c>
      <c r="D369" s="2" t="s">
        <v>178</v>
      </c>
      <c r="E369" s="2" t="s">
        <v>178</v>
      </c>
      <c r="G369" s="1" t="str">
        <f>LEFT(الصنف[[#This Row],[تصنيف فرعي (2)]],4)</f>
        <v>3301</v>
      </c>
      <c r="H369" s="5" t="s">
        <v>1028</v>
      </c>
      <c r="I369" s="5" t="str">
        <f>LEFT(الصنف[[#This Row],[تصنيف فرعي (1)]],2)</f>
        <v>33</v>
      </c>
      <c r="J369" s="1" t="s">
        <v>665</v>
      </c>
      <c r="K369" s="1">
        <f>VLOOKUP(الصنف[[#This Row],[وحده القياس]],$S$4:$T$67,2,TRUE)</f>
        <v>43</v>
      </c>
      <c r="L369" s="1" t="s">
        <v>742</v>
      </c>
      <c r="M369" s="1">
        <v>1</v>
      </c>
      <c r="N369" s="6" t="s">
        <v>742</v>
      </c>
      <c r="O369" s="7"/>
      <c r="P369" s="9">
        <f>IF(الصنف[[#This Row],[وحده المكونات]]="جرام",1,0)</f>
        <v>0</v>
      </c>
    </row>
    <row r="370" spans="2:16" ht="20.100000000000001" customHeight="1" x14ac:dyDescent="0.2">
      <c r="B370" s="4">
        <v>368</v>
      </c>
      <c r="C370" s="4">
        <v>3301021</v>
      </c>
      <c r="D370" s="2" t="s">
        <v>286</v>
      </c>
      <c r="E370" s="2" t="s">
        <v>286</v>
      </c>
      <c r="G370" s="1" t="str">
        <f>LEFT(الصنف[[#This Row],[تصنيف فرعي (2)]],4)</f>
        <v>3301</v>
      </c>
      <c r="H370" s="5" t="s">
        <v>1028</v>
      </c>
      <c r="I370" s="5" t="str">
        <f>LEFT(الصنف[[#This Row],[تصنيف فرعي (1)]],2)</f>
        <v>33</v>
      </c>
      <c r="J370" s="1" t="s">
        <v>665</v>
      </c>
      <c r="K370" s="1">
        <f>VLOOKUP(الصنف[[#This Row],[وحده القياس]],$S$4:$T$67,2,TRUE)</f>
        <v>43</v>
      </c>
      <c r="L370" s="1" t="s">
        <v>742</v>
      </c>
      <c r="M370" s="1">
        <v>1</v>
      </c>
      <c r="N370" s="6" t="s">
        <v>742</v>
      </c>
      <c r="O370" s="7"/>
      <c r="P370" s="9">
        <f>IF(الصنف[[#This Row],[وحده المكونات]]="جرام",1,0)</f>
        <v>0</v>
      </c>
    </row>
    <row r="371" spans="2:16" ht="20.100000000000001" customHeight="1" x14ac:dyDescent="0.2">
      <c r="B371" s="4">
        <v>369</v>
      </c>
      <c r="C371" s="4">
        <v>3301022</v>
      </c>
      <c r="D371" s="2" t="s">
        <v>272</v>
      </c>
      <c r="E371" s="2" t="s">
        <v>272</v>
      </c>
      <c r="G371" s="1" t="str">
        <f>LEFT(الصنف[[#This Row],[تصنيف فرعي (2)]],4)</f>
        <v>3301</v>
      </c>
      <c r="H371" s="5" t="s">
        <v>1028</v>
      </c>
      <c r="I371" s="5" t="str">
        <f>LEFT(الصنف[[#This Row],[تصنيف فرعي (1)]],2)</f>
        <v>33</v>
      </c>
      <c r="J371" s="1" t="s">
        <v>665</v>
      </c>
      <c r="K371" s="1">
        <f>VLOOKUP(الصنف[[#This Row],[وحده القياس]],$S$4:$T$67,2,TRUE)</f>
        <v>43</v>
      </c>
      <c r="L371" s="1" t="s">
        <v>742</v>
      </c>
      <c r="M371" s="1">
        <v>1</v>
      </c>
      <c r="N371" s="6" t="s">
        <v>742</v>
      </c>
      <c r="O371" s="7"/>
      <c r="P371" s="9">
        <f>IF(الصنف[[#This Row],[وحده المكونات]]="جرام",1,0)</f>
        <v>0</v>
      </c>
    </row>
    <row r="372" spans="2:16" ht="20.100000000000001" customHeight="1" x14ac:dyDescent="0.2">
      <c r="B372" s="4">
        <v>370</v>
      </c>
      <c r="C372" s="4">
        <v>3301023</v>
      </c>
      <c r="D372" s="2" t="s">
        <v>379</v>
      </c>
      <c r="E372" s="2" t="s">
        <v>379</v>
      </c>
      <c r="G372" s="1" t="str">
        <f>LEFT(الصنف[[#This Row],[تصنيف فرعي (2)]],4)</f>
        <v>3301</v>
      </c>
      <c r="H372" s="5" t="s">
        <v>1028</v>
      </c>
      <c r="I372" s="5" t="str">
        <f>LEFT(الصنف[[#This Row],[تصنيف فرعي (1)]],2)</f>
        <v>33</v>
      </c>
      <c r="J372" s="1" t="s">
        <v>665</v>
      </c>
      <c r="K372" s="1">
        <f>VLOOKUP(الصنف[[#This Row],[وحده القياس]],$S$4:$T$67,2,TRUE)</f>
        <v>43</v>
      </c>
      <c r="L372" s="1" t="s">
        <v>742</v>
      </c>
      <c r="M372" s="1">
        <v>1</v>
      </c>
      <c r="N372" s="6" t="s">
        <v>742</v>
      </c>
      <c r="O372" s="7"/>
      <c r="P372" s="9">
        <f>IF(الصنف[[#This Row],[وحده المكونات]]="جرام",1,0)</f>
        <v>0</v>
      </c>
    </row>
    <row r="373" spans="2:16" ht="20.100000000000001" customHeight="1" x14ac:dyDescent="0.2">
      <c r="B373" s="4">
        <v>371</v>
      </c>
      <c r="C373" s="4">
        <v>3301024</v>
      </c>
      <c r="D373" s="2" t="s">
        <v>342</v>
      </c>
      <c r="E373" s="2" t="s">
        <v>342</v>
      </c>
      <c r="G373" s="1" t="str">
        <f>LEFT(الصنف[[#This Row],[تصنيف فرعي (2)]],4)</f>
        <v>3301</v>
      </c>
      <c r="H373" s="5" t="s">
        <v>1028</v>
      </c>
      <c r="I373" s="5" t="str">
        <f>LEFT(الصنف[[#This Row],[تصنيف فرعي (1)]],2)</f>
        <v>33</v>
      </c>
      <c r="J373" s="1" t="s">
        <v>665</v>
      </c>
      <c r="K373" s="1">
        <f>VLOOKUP(الصنف[[#This Row],[وحده القياس]],$S$4:$T$67,2,TRUE)</f>
        <v>43</v>
      </c>
      <c r="L373" s="1" t="s">
        <v>742</v>
      </c>
      <c r="M373" s="1">
        <v>1</v>
      </c>
      <c r="N373" s="6" t="s">
        <v>742</v>
      </c>
      <c r="O373" s="7"/>
      <c r="P373" s="9">
        <f>IF(الصنف[[#This Row],[وحده المكونات]]="جرام",1,0)</f>
        <v>0</v>
      </c>
    </row>
    <row r="374" spans="2:16" ht="20.100000000000001" customHeight="1" x14ac:dyDescent="0.2">
      <c r="B374" s="4">
        <v>372</v>
      </c>
      <c r="C374" s="4">
        <v>3301025</v>
      </c>
      <c r="D374" s="2" t="s">
        <v>79</v>
      </c>
      <c r="E374" s="2" t="s">
        <v>79</v>
      </c>
      <c r="G374" s="1" t="str">
        <f>LEFT(الصنف[[#This Row],[تصنيف فرعي (2)]],4)</f>
        <v>3301</v>
      </c>
      <c r="H374" s="5" t="s">
        <v>1028</v>
      </c>
      <c r="I374" s="5" t="str">
        <f>LEFT(الصنف[[#This Row],[تصنيف فرعي (1)]],2)</f>
        <v>33</v>
      </c>
      <c r="J374" s="1" t="s">
        <v>665</v>
      </c>
      <c r="K374" s="1">
        <f>VLOOKUP(الصنف[[#This Row],[وحده القياس]],$S$4:$T$67,2,TRUE)</f>
        <v>43</v>
      </c>
      <c r="L374" s="1" t="s">
        <v>742</v>
      </c>
      <c r="M374" s="1">
        <v>1</v>
      </c>
      <c r="N374" s="6" t="s">
        <v>742</v>
      </c>
      <c r="O374" s="7"/>
      <c r="P374" s="9">
        <f>IF(الصنف[[#This Row],[وحده المكونات]]="جرام",1,0)</f>
        <v>0</v>
      </c>
    </row>
    <row r="375" spans="2:16" ht="20.100000000000001" customHeight="1" x14ac:dyDescent="0.2">
      <c r="B375" s="4">
        <v>373</v>
      </c>
      <c r="C375" s="4">
        <v>3301026</v>
      </c>
      <c r="D375" s="2" t="s">
        <v>273</v>
      </c>
      <c r="E375" s="2" t="s">
        <v>273</v>
      </c>
      <c r="G375" s="1" t="str">
        <f>LEFT(الصنف[[#This Row],[تصنيف فرعي (2)]],4)</f>
        <v>3301</v>
      </c>
      <c r="H375" s="5" t="s">
        <v>1028</v>
      </c>
      <c r="I375" s="5" t="str">
        <f>LEFT(الصنف[[#This Row],[تصنيف فرعي (1)]],2)</f>
        <v>33</v>
      </c>
      <c r="J375" s="1" t="s">
        <v>665</v>
      </c>
      <c r="K375" s="1">
        <f>VLOOKUP(الصنف[[#This Row],[وحده القياس]],$S$4:$T$67,2,TRUE)</f>
        <v>43</v>
      </c>
      <c r="L375" s="1" t="s">
        <v>742</v>
      </c>
      <c r="M375" s="1">
        <v>1</v>
      </c>
      <c r="N375" s="6" t="s">
        <v>742</v>
      </c>
      <c r="O375" s="7"/>
      <c r="P375" s="9">
        <f>IF(الصنف[[#This Row],[وحده المكونات]]="جرام",1,0)</f>
        <v>0</v>
      </c>
    </row>
    <row r="376" spans="2:16" ht="20.100000000000001" customHeight="1" x14ac:dyDescent="0.2">
      <c r="B376" s="4">
        <v>374</v>
      </c>
      <c r="C376" s="4">
        <v>3301027</v>
      </c>
      <c r="D376" s="2" t="s">
        <v>339</v>
      </c>
      <c r="E376" s="2" t="s">
        <v>339</v>
      </c>
      <c r="G376" s="1" t="str">
        <f>LEFT(الصنف[[#This Row],[تصنيف فرعي (2)]],4)</f>
        <v>3301</v>
      </c>
      <c r="H376" s="5" t="s">
        <v>1028</v>
      </c>
      <c r="I376" s="5" t="str">
        <f>LEFT(الصنف[[#This Row],[تصنيف فرعي (1)]],2)</f>
        <v>33</v>
      </c>
      <c r="J376" s="1" t="s">
        <v>665</v>
      </c>
      <c r="K376" s="1">
        <f>VLOOKUP(الصنف[[#This Row],[وحده القياس]],$S$4:$T$67,2,TRUE)</f>
        <v>43</v>
      </c>
      <c r="L376" s="1" t="s">
        <v>742</v>
      </c>
      <c r="M376" s="1">
        <v>1</v>
      </c>
      <c r="N376" s="6" t="s">
        <v>742</v>
      </c>
      <c r="O376" s="7"/>
      <c r="P376" s="9">
        <f>IF(الصنف[[#This Row],[وحده المكونات]]="جرام",1,0)</f>
        <v>0</v>
      </c>
    </row>
    <row r="377" spans="2:16" ht="20.100000000000001" customHeight="1" x14ac:dyDescent="0.2">
      <c r="B377" s="4">
        <v>375</v>
      </c>
      <c r="C377" s="4">
        <v>3301028</v>
      </c>
      <c r="D377" s="2" t="s">
        <v>341</v>
      </c>
      <c r="E377" s="2" t="s">
        <v>341</v>
      </c>
      <c r="G377" s="1" t="str">
        <f>LEFT(الصنف[[#This Row],[تصنيف فرعي (2)]],4)</f>
        <v>3301</v>
      </c>
      <c r="H377" s="5" t="s">
        <v>1028</v>
      </c>
      <c r="I377" s="5" t="str">
        <f>LEFT(الصنف[[#This Row],[تصنيف فرعي (1)]],2)</f>
        <v>33</v>
      </c>
      <c r="J377" s="1" t="s">
        <v>665</v>
      </c>
      <c r="K377" s="1">
        <f>VLOOKUP(الصنف[[#This Row],[وحده القياس]],$S$4:$T$67,2,TRUE)</f>
        <v>43</v>
      </c>
      <c r="L377" s="1" t="s">
        <v>742</v>
      </c>
      <c r="M377" s="1">
        <v>1</v>
      </c>
      <c r="N377" s="6" t="s">
        <v>742</v>
      </c>
      <c r="O377" s="7"/>
      <c r="P377" s="9">
        <f>IF(الصنف[[#This Row],[وحده المكونات]]="جرام",1,0)</f>
        <v>0</v>
      </c>
    </row>
    <row r="378" spans="2:16" ht="20.100000000000001" customHeight="1" x14ac:dyDescent="0.2">
      <c r="B378" s="4">
        <v>376</v>
      </c>
      <c r="C378" s="4">
        <v>3301029</v>
      </c>
      <c r="D378" s="2" t="s">
        <v>630</v>
      </c>
      <c r="E378" s="2" t="s">
        <v>630</v>
      </c>
      <c r="G378" s="1" t="str">
        <f>LEFT(الصنف[[#This Row],[تصنيف فرعي (2)]],4)</f>
        <v>3301</v>
      </c>
      <c r="H378" s="5" t="s">
        <v>1028</v>
      </c>
      <c r="I378" s="5" t="str">
        <f>LEFT(الصنف[[#This Row],[تصنيف فرعي (1)]],2)</f>
        <v>33</v>
      </c>
      <c r="J378" s="1" t="s">
        <v>665</v>
      </c>
      <c r="K378" s="1">
        <f>VLOOKUP(الصنف[[#This Row],[وحده القياس]],$S$4:$T$67,2,TRUE)</f>
        <v>43</v>
      </c>
      <c r="L378" s="1" t="s">
        <v>742</v>
      </c>
      <c r="M378" s="1">
        <v>1</v>
      </c>
      <c r="N378" s="6" t="s">
        <v>742</v>
      </c>
      <c r="O378" s="7"/>
      <c r="P378" s="9">
        <f>IF(الصنف[[#This Row],[وحده المكونات]]="جرام",1,0)</f>
        <v>0</v>
      </c>
    </row>
    <row r="379" spans="2:16" ht="20.100000000000001" customHeight="1" x14ac:dyDescent="0.2">
      <c r="B379" s="4">
        <v>377</v>
      </c>
      <c r="C379" s="4">
        <v>3301030</v>
      </c>
      <c r="D379" s="2" t="s">
        <v>345</v>
      </c>
      <c r="E379" s="2" t="s">
        <v>345</v>
      </c>
      <c r="G379" s="1" t="str">
        <f>LEFT(الصنف[[#This Row],[تصنيف فرعي (2)]],4)</f>
        <v>3301</v>
      </c>
      <c r="H379" s="5" t="s">
        <v>1028</v>
      </c>
      <c r="I379" s="5" t="str">
        <f>LEFT(الصنف[[#This Row],[تصنيف فرعي (1)]],2)</f>
        <v>33</v>
      </c>
      <c r="J379" s="1" t="s">
        <v>665</v>
      </c>
      <c r="K379" s="1">
        <f>VLOOKUP(الصنف[[#This Row],[وحده القياس]],$S$4:$T$67,2,TRUE)</f>
        <v>43</v>
      </c>
      <c r="L379" s="1" t="s">
        <v>742</v>
      </c>
      <c r="M379" s="1">
        <v>1</v>
      </c>
      <c r="N379" s="6" t="s">
        <v>742</v>
      </c>
      <c r="O379" s="7"/>
      <c r="P379" s="9">
        <f>IF(الصنف[[#This Row],[وحده المكونات]]="جرام",1,0)</f>
        <v>0</v>
      </c>
    </row>
    <row r="380" spans="2:16" ht="20.100000000000001" customHeight="1" x14ac:dyDescent="0.2">
      <c r="B380" s="4">
        <v>378</v>
      </c>
      <c r="C380" s="4">
        <v>3301031</v>
      </c>
      <c r="D380" s="2" t="s">
        <v>80</v>
      </c>
      <c r="E380" s="2" t="s">
        <v>80</v>
      </c>
      <c r="G380" s="1" t="str">
        <f>LEFT(الصنف[[#This Row],[تصنيف فرعي (2)]],4)</f>
        <v>3301</v>
      </c>
      <c r="H380" s="5" t="s">
        <v>1028</v>
      </c>
      <c r="I380" s="5" t="str">
        <f>LEFT(الصنف[[#This Row],[تصنيف فرعي (1)]],2)</f>
        <v>33</v>
      </c>
      <c r="J380" s="1" t="s">
        <v>665</v>
      </c>
      <c r="K380" s="1">
        <f>VLOOKUP(الصنف[[#This Row],[وحده القياس]],$S$4:$T$67,2,TRUE)</f>
        <v>43</v>
      </c>
      <c r="L380" s="1" t="s">
        <v>742</v>
      </c>
      <c r="M380" s="1">
        <v>1</v>
      </c>
      <c r="N380" s="6" t="s">
        <v>742</v>
      </c>
      <c r="O380" s="7"/>
      <c r="P380" s="9">
        <f>IF(الصنف[[#This Row],[وحده المكونات]]="جرام",1,0)</f>
        <v>0</v>
      </c>
    </row>
    <row r="381" spans="2:16" ht="20.100000000000001" customHeight="1" x14ac:dyDescent="0.2">
      <c r="B381" s="4">
        <v>379</v>
      </c>
      <c r="C381" s="4">
        <v>3301032</v>
      </c>
      <c r="D381" s="2" t="s">
        <v>81</v>
      </c>
      <c r="E381" s="2" t="s">
        <v>81</v>
      </c>
      <c r="G381" s="1" t="str">
        <f>LEFT(الصنف[[#This Row],[تصنيف فرعي (2)]],4)</f>
        <v>3301</v>
      </c>
      <c r="H381" s="5" t="s">
        <v>1028</v>
      </c>
      <c r="I381" s="5" t="str">
        <f>LEFT(الصنف[[#This Row],[تصنيف فرعي (1)]],2)</f>
        <v>33</v>
      </c>
      <c r="J381" s="1" t="s">
        <v>665</v>
      </c>
      <c r="K381" s="1">
        <f>VLOOKUP(الصنف[[#This Row],[وحده القياس]],$S$4:$T$67,2,TRUE)</f>
        <v>43</v>
      </c>
      <c r="L381" s="1" t="s">
        <v>742</v>
      </c>
      <c r="M381" s="1">
        <v>1</v>
      </c>
      <c r="N381" s="6" t="s">
        <v>742</v>
      </c>
      <c r="O381" s="7"/>
      <c r="P381" s="9">
        <f>IF(الصنف[[#This Row],[وحده المكونات]]="جرام",1,0)</f>
        <v>0</v>
      </c>
    </row>
    <row r="382" spans="2:16" ht="20.100000000000001" customHeight="1" x14ac:dyDescent="0.2">
      <c r="B382" s="4">
        <v>380</v>
      </c>
      <c r="C382" s="4">
        <v>3301033</v>
      </c>
      <c r="D382" s="2" t="s">
        <v>344</v>
      </c>
      <c r="E382" s="2" t="s">
        <v>344</v>
      </c>
      <c r="G382" s="1" t="str">
        <f>LEFT(الصنف[[#This Row],[تصنيف فرعي (2)]],4)</f>
        <v>3301</v>
      </c>
      <c r="H382" s="5" t="s">
        <v>1028</v>
      </c>
      <c r="I382" s="5" t="str">
        <f>LEFT(الصنف[[#This Row],[تصنيف فرعي (1)]],2)</f>
        <v>33</v>
      </c>
      <c r="J382" s="1" t="s">
        <v>665</v>
      </c>
      <c r="K382" s="1">
        <f>VLOOKUP(الصنف[[#This Row],[وحده القياس]],$S$4:$T$67,2,TRUE)</f>
        <v>43</v>
      </c>
      <c r="L382" s="1" t="s">
        <v>742</v>
      </c>
      <c r="M382" s="1">
        <v>1</v>
      </c>
      <c r="N382" s="6" t="s">
        <v>742</v>
      </c>
      <c r="O382" s="7"/>
      <c r="P382" s="9">
        <f>IF(الصنف[[#This Row],[وحده المكونات]]="جرام",1,0)</f>
        <v>0</v>
      </c>
    </row>
    <row r="383" spans="2:16" ht="20.100000000000001" customHeight="1" x14ac:dyDescent="0.2">
      <c r="B383" s="4">
        <v>381</v>
      </c>
      <c r="C383" s="4">
        <v>3301034</v>
      </c>
      <c r="D383" s="2" t="s">
        <v>343</v>
      </c>
      <c r="E383" s="2" t="s">
        <v>343</v>
      </c>
      <c r="G383" s="1" t="str">
        <f>LEFT(الصنف[[#This Row],[تصنيف فرعي (2)]],4)</f>
        <v>3301</v>
      </c>
      <c r="H383" s="5" t="s">
        <v>1028</v>
      </c>
      <c r="I383" s="5" t="str">
        <f>LEFT(الصنف[[#This Row],[تصنيف فرعي (1)]],2)</f>
        <v>33</v>
      </c>
      <c r="J383" s="1" t="s">
        <v>665</v>
      </c>
      <c r="K383" s="1">
        <f>VLOOKUP(الصنف[[#This Row],[وحده القياس]],$S$4:$T$67,2,TRUE)</f>
        <v>43</v>
      </c>
      <c r="L383" s="1" t="s">
        <v>742</v>
      </c>
      <c r="M383" s="1">
        <v>1</v>
      </c>
      <c r="N383" s="6" t="s">
        <v>742</v>
      </c>
      <c r="O383" s="7"/>
      <c r="P383" s="9">
        <f>IF(الصنف[[#This Row],[وحده المكونات]]="جرام",1,0)</f>
        <v>0</v>
      </c>
    </row>
    <row r="384" spans="2:16" ht="20.100000000000001" customHeight="1" x14ac:dyDescent="0.2">
      <c r="B384" s="4">
        <v>382</v>
      </c>
      <c r="C384" s="4">
        <v>3301035</v>
      </c>
      <c r="D384" s="2" t="s">
        <v>346</v>
      </c>
      <c r="E384" s="2" t="s">
        <v>346</v>
      </c>
      <c r="G384" s="1" t="str">
        <f>LEFT(الصنف[[#This Row],[تصنيف فرعي (2)]],4)</f>
        <v>3301</v>
      </c>
      <c r="H384" s="5" t="s">
        <v>1028</v>
      </c>
      <c r="I384" s="5" t="str">
        <f>LEFT(الصنف[[#This Row],[تصنيف فرعي (1)]],2)</f>
        <v>33</v>
      </c>
      <c r="J384" s="1" t="s">
        <v>665</v>
      </c>
      <c r="K384" s="1">
        <f>VLOOKUP(الصنف[[#This Row],[وحده القياس]],$S$4:$T$67,2,TRUE)</f>
        <v>43</v>
      </c>
      <c r="L384" s="1" t="s">
        <v>742</v>
      </c>
      <c r="M384" s="1">
        <v>1</v>
      </c>
      <c r="N384" s="6" t="s">
        <v>742</v>
      </c>
      <c r="O384" s="7"/>
      <c r="P384" s="9">
        <f>IF(الصنف[[#This Row],[وحده المكونات]]="جرام",1,0)</f>
        <v>0</v>
      </c>
    </row>
    <row r="385" spans="2:16" ht="20.100000000000001" customHeight="1" x14ac:dyDescent="0.2">
      <c r="B385" s="4">
        <v>383</v>
      </c>
      <c r="C385" s="4">
        <v>3301036</v>
      </c>
      <c r="D385" s="2" t="s">
        <v>347</v>
      </c>
      <c r="E385" s="2" t="s">
        <v>347</v>
      </c>
      <c r="G385" s="1" t="str">
        <f>LEFT(الصنف[[#This Row],[تصنيف فرعي (2)]],4)</f>
        <v>3301</v>
      </c>
      <c r="H385" s="5" t="s">
        <v>1028</v>
      </c>
      <c r="I385" s="5" t="str">
        <f>LEFT(الصنف[[#This Row],[تصنيف فرعي (1)]],2)</f>
        <v>33</v>
      </c>
      <c r="J385" s="1" t="s">
        <v>665</v>
      </c>
      <c r="K385" s="1">
        <f>VLOOKUP(الصنف[[#This Row],[وحده القياس]],$S$4:$T$67,2,TRUE)</f>
        <v>43</v>
      </c>
      <c r="L385" s="1" t="s">
        <v>742</v>
      </c>
      <c r="M385" s="1">
        <v>1</v>
      </c>
      <c r="N385" s="6" t="s">
        <v>742</v>
      </c>
      <c r="O385" s="7"/>
      <c r="P385" s="9">
        <f>IF(الصنف[[#This Row],[وحده المكونات]]="جرام",1,0)</f>
        <v>0</v>
      </c>
    </row>
    <row r="386" spans="2:16" ht="20.100000000000001" customHeight="1" x14ac:dyDescent="0.2">
      <c r="B386" s="4">
        <v>384</v>
      </c>
      <c r="C386" s="4">
        <v>3301037</v>
      </c>
      <c r="D386" s="2" t="s">
        <v>522</v>
      </c>
      <c r="E386" s="2" t="s">
        <v>522</v>
      </c>
      <c r="G386" s="1" t="str">
        <f>LEFT(الصنف[[#This Row],[تصنيف فرعي (2)]],4)</f>
        <v>3301</v>
      </c>
      <c r="H386" s="5" t="s">
        <v>1028</v>
      </c>
      <c r="I386" s="5" t="str">
        <f>LEFT(الصنف[[#This Row],[تصنيف فرعي (1)]],2)</f>
        <v>33</v>
      </c>
      <c r="J386" s="1" t="s">
        <v>665</v>
      </c>
      <c r="K386" s="1">
        <f>VLOOKUP(الصنف[[#This Row],[وحده القياس]],$S$4:$T$67,2,TRUE)</f>
        <v>43</v>
      </c>
      <c r="L386" s="1" t="s">
        <v>742</v>
      </c>
      <c r="M386" s="1">
        <v>1</v>
      </c>
      <c r="N386" s="6" t="s">
        <v>742</v>
      </c>
      <c r="O386" s="7"/>
      <c r="P386" s="9">
        <f>IF(الصنف[[#This Row],[وحده المكونات]]="جرام",1,0)</f>
        <v>0</v>
      </c>
    </row>
    <row r="387" spans="2:16" ht="20.100000000000001" customHeight="1" x14ac:dyDescent="0.2">
      <c r="B387" s="4">
        <v>385</v>
      </c>
      <c r="C387" s="4">
        <v>3301038</v>
      </c>
      <c r="D387" s="2" t="s">
        <v>101</v>
      </c>
      <c r="E387" s="2" t="s">
        <v>101</v>
      </c>
      <c r="G387" s="1" t="str">
        <f>LEFT(الصنف[[#This Row],[تصنيف فرعي (2)]],4)</f>
        <v>3301</v>
      </c>
      <c r="H387" s="5" t="s">
        <v>1028</v>
      </c>
      <c r="I387" s="5" t="str">
        <f>LEFT(الصنف[[#This Row],[تصنيف فرعي (1)]],2)</f>
        <v>33</v>
      </c>
      <c r="J387" s="1" t="s">
        <v>665</v>
      </c>
      <c r="K387" s="1">
        <f>VLOOKUP(الصنف[[#This Row],[وحده القياس]],$S$4:$T$67,2,TRUE)</f>
        <v>43</v>
      </c>
      <c r="L387" s="1" t="s">
        <v>742</v>
      </c>
      <c r="M387" s="1">
        <v>1</v>
      </c>
      <c r="N387" s="6" t="s">
        <v>742</v>
      </c>
      <c r="O387" s="7"/>
      <c r="P387" s="9">
        <f>IF(الصنف[[#This Row],[وحده المكونات]]="جرام",1,0)</f>
        <v>0</v>
      </c>
    </row>
    <row r="388" spans="2:16" ht="20.100000000000001" customHeight="1" x14ac:dyDescent="0.2">
      <c r="B388" s="4">
        <v>386</v>
      </c>
      <c r="C388" s="4">
        <v>3401001</v>
      </c>
      <c r="D388" s="2" t="s">
        <v>113</v>
      </c>
      <c r="E388" s="2" t="s">
        <v>113</v>
      </c>
      <c r="G388" s="1" t="str">
        <f>LEFT(الصنف[[#This Row],[تصنيف فرعي (2)]],4)</f>
        <v>3401</v>
      </c>
      <c r="H388" s="5" t="s">
        <v>1029</v>
      </c>
      <c r="I388" s="5" t="str">
        <f>LEFT(الصنف[[#This Row],[تصنيف فرعي (1)]],2)</f>
        <v>34</v>
      </c>
      <c r="J388" s="1" t="s">
        <v>662</v>
      </c>
      <c r="K388" s="1">
        <f>VLOOKUP(الصنف[[#This Row],[وحده القياس]],$S$4:$T$67,2,TRUE)</f>
        <v>43</v>
      </c>
      <c r="L388" s="1" t="s">
        <v>742</v>
      </c>
      <c r="M388" s="1">
        <v>1</v>
      </c>
      <c r="N388" s="6" t="s">
        <v>742</v>
      </c>
      <c r="O388" s="7"/>
      <c r="P388" s="9">
        <f>IF(الصنف[[#This Row],[وحده المكونات]]="جرام",1,0)</f>
        <v>0</v>
      </c>
    </row>
    <row r="389" spans="2:16" ht="20.100000000000001" customHeight="1" x14ac:dyDescent="0.2">
      <c r="B389" s="4">
        <v>387</v>
      </c>
      <c r="C389" s="4">
        <v>3401002</v>
      </c>
      <c r="D389" s="2" t="s">
        <v>861</v>
      </c>
      <c r="E389" s="2" t="s">
        <v>111</v>
      </c>
      <c r="G389" s="1" t="str">
        <f>LEFT(الصنف[[#This Row],[تصنيف فرعي (2)]],4)</f>
        <v>3401</v>
      </c>
      <c r="H389" s="5" t="s">
        <v>1029</v>
      </c>
      <c r="I389" s="5" t="str">
        <f>LEFT(الصنف[[#This Row],[تصنيف فرعي (1)]],2)</f>
        <v>34</v>
      </c>
      <c r="J389" s="1" t="s">
        <v>662</v>
      </c>
      <c r="K389" s="1">
        <f>VLOOKUP(الصنف[[#This Row],[وحده القياس]],$S$4:$T$67,2,TRUE)</f>
        <v>60</v>
      </c>
      <c r="L389" s="1" t="s">
        <v>686</v>
      </c>
      <c r="M389" s="1">
        <v>1000</v>
      </c>
      <c r="N389" s="6" t="s">
        <v>678</v>
      </c>
      <c r="O389" s="7"/>
      <c r="P389" s="9">
        <f>IF(الصنف[[#This Row],[وحده المكونات]]="جرام",1,0)</f>
        <v>1</v>
      </c>
    </row>
    <row r="390" spans="2:16" ht="20.100000000000001" customHeight="1" x14ac:dyDescent="0.2">
      <c r="B390" s="4">
        <v>388</v>
      </c>
      <c r="C390" s="4">
        <v>3401003</v>
      </c>
      <c r="D390" s="2" t="s">
        <v>862</v>
      </c>
      <c r="E390" s="2" t="s">
        <v>112</v>
      </c>
      <c r="G390" s="1" t="str">
        <f>LEFT(الصنف[[#This Row],[تصنيف فرعي (2)]],4)</f>
        <v>3401</v>
      </c>
      <c r="H390" s="5" t="s">
        <v>1029</v>
      </c>
      <c r="I390" s="5" t="str">
        <f>LEFT(الصنف[[#This Row],[تصنيف فرعي (1)]],2)</f>
        <v>34</v>
      </c>
      <c r="J390" s="1" t="s">
        <v>662</v>
      </c>
      <c r="K390" s="1">
        <f>VLOOKUP(الصنف[[#This Row],[وحده القياس]],$S$4:$T$67,2,TRUE)</f>
        <v>60</v>
      </c>
      <c r="L390" s="1" t="s">
        <v>686</v>
      </c>
      <c r="M390" s="1">
        <v>1000</v>
      </c>
      <c r="N390" s="6" t="s">
        <v>678</v>
      </c>
      <c r="O390" s="7"/>
      <c r="P390" s="9">
        <f>IF(الصنف[[#This Row],[وحده المكونات]]="جرام",1,0)</f>
        <v>1</v>
      </c>
    </row>
    <row r="391" spans="2:16" ht="20.100000000000001" customHeight="1" x14ac:dyDescent="0.2">
      <c r="B391" s="4">
        <v>389</v>
      </c>
      <c r="C391" s="4">
        <v>3401004</v>
      </c>
      <c r="D391" s="2" t="s">
        <v>209</v>
      </c>
      <c r="E391" s="2" t="s">
        <v>209</v>
      </c>
      <c r="G391" s="1" t="str">
        <f>LEFT(الصنف[[#This Row],[تصنيف فرعي (2)]],4)</f>
        <v>3401</v>
      </c>
      <c r="H391" s="5" t="s">
        <v>1029</v>
      </c>
      <c r="I391" s="5" t="str">
        <f>LEFT(الصنف[[#This Row],[تصنيف فرعي (1)]],2)</f>
        <v>34</v>
      </c>
      <c r="J391" s="1" t="s">
        <v>662</v>
      </c>
      <c r="K391" s="1">
        <f>VLOOKUP(الصنف[[#This Row],[وحده القياس]],$S$4:$T$67,2,TRUE)</f>
        <v>43</v>
      </c>
      <c r="L391" s="1" t="s">
        <v>742</v>
      </c>
      <c r="M391" s="1">
        <v>1</v>
      </c>
      <c r="N391" s="6" t="s">
        <v>742</v>
      </c>
      <c r="O391" s="7"/>
      <c r="P391" s="9">
        <f>IF(الصنف[[#This Row],[وحده المكونات]]="جرام",1,0)</f>
        <v>0</v>
      </c>
    </row>
    <row r="392" spans="2:16" ht="20.100000000000001" customHeight="1" x14ac:dyDescent="0.2">
      <c r="B392" s="4">
        <v>390</v>
      </c>
      <c r="C392" s="4">
        <v>3401005</v>
      </c>
      <c r="D392" s="2" t="s">
        <v>150</v>
      </c>
      <c r="E392" s="2" t="s">
        <v>150</v>
      </c>
      <c r="G392" s="1" t="str">
        <f>LEFT(الصنف[[#This Row],[تصنيف فرعي (2)]],4)</f>
        <v>3401</v>
      </c>
      <c r="H392" s="5" t="s">
        <v>1029</v>
      </c>
      <c r="I392" s="5" t="str">
        <f>LEFT(الصنف[[#This Row],[تصنيف فرعي (1)]],2)</f>
        <v>34</v>
      </c>
      <c r="J392" s="1" t="s">
        <v>662</v>
      </c>
      <c r="K392" s="1">
        <f>VLOOKUP(الصنف[[#This Row],[وحده القياس]],$S$4:$T$67,2,TRUE)</f>
        <v>43</v>
      </c>
      <c r="L392" s="1" t="s">
        <v>742</v>
      </c>
      <c r="M392" s="1">
        <v>1</v>
      </c>
      <c r="N392" s="6" t="s">
        <v>742</v>
      </c>
      <c r="O392" s="7"/>
      <c r="P392" s="9">
        <f>IF(الصنف[[#This Row],[وحده المكونات]]="جرام",1,0)</f>
        <v>0</v>
      </c>
    </row>
    <row r="393" spans="2:16" ht="20.100000000000001" customHeight="1" x14ac:dyDescent="0.2">
      <c r="B393" s="4">
        <v>391</v>
      </c>
      <c r="C393" s="4">
        <v>3401006</v>
      </c>
      <c r="D393" s="2" t="s">
        <v>130</v>
      </c>
      <c r="E393" s="2" t="s">
        <v>130</v>
      </c>
      <c r="G393" s="1" t="str">
        <f>LEFT(الصنف[[#This Row],[تصنيف فرعي (2)]],4)</f>
        <v>3401</v>
      </c>
      <c r="H393" s="5" t="s">
        <v>1029</v>
      </c>
      <c r="I393" s="5" t="str">
        <f>LEFT(الصنف[[#This Row],[تصنيف فرعي (1)]],2)</f>
        <v>34</v>
      </c>
      <c r="J393" s="1" t="s">
        <v>662</v>
      </c>
      <c r="K393" s="1">
        <f>VLOOKUP(الصنف[[#This Row],[وحده القياس]],$S$4:$T$67,2,TRUE)</f>
        <v>43</v>
      </c>
      <c r="L393" s="1" t="s">
        <v>742</v>
      </c>
      <c r="M393" s="1">
        <v>1</v>
      </c>
      <c r="N393" s="6" t="s">
        <v>742</v>
      </c>
      <c r="O393" s="7"/>
      <c r="P393" s="9">
        <f>IF(الصنف[[#This Row],[وحده المكونات]]="جرام",1,0)</f>
        <v>0</v>
      </c>
    </row>
    <row r="394" spans="2:16" ht="20.100000000000001" customHeight="1" x14ac:dyDescent="0.2">
      <c r="B394" s="4">
        <v>392</v>
      </c>
      <c r="C394" s="4">
        <v>3401007</v>
      </c>
      <c r="D394" s="2" t="s">
        <v>442</v>
      </c>
      <c r="E394" s="2" t="s">
        <v>442</v>
      </c>
      <c r="G394" s="1" t="str">
        <f>LEFT(الصنف[[#This Row],[تصنيف فرعي (2)]],4)</f>
        <v>3401</v>
      </c>
      <c r="H394" s="5" t="s">
        <v>1029</v>
      </c>
      <c r="I394" s="5" t="str">
        <f>LEFT(الصنف[[#This Row],[تصنيف فرعي (1)]],2)</f>
        <v>34</v>
      </c>
      <c r="J394" s="1" t="s">
        <v>662</v>
      </c>
      <c r="K394" s="1">
        <f>VLOOKUP(الصنف[[#This Row],[وحده القياس]],$S$4:$T$67,2,TRUE)</f>
        <v>43</v>
      </c>
      <c r="L394" s="1" t="s">
        <v>742</v>
      </c>
      <c r="M394" s="1">
        <v>1</v>
      </c>
      <c r="N394" s="6" t="s">
        <v>742</v>
      </c>
      <c r="O394" s="7"/>
      <c r="P394" s="9">
        <f>IF(الصنف[[#This Row],[وحده المكونات]]="جرام",1,0)</f>
        <v>0</v>
      </c>
    </row>
    <row r="395" spans="2:16" ht="20.100000000000001" customHeight="1" x14ac:dyDescent="0.2">
      <c r="B395" s="4">
        <v>393</v>
      </c>
      <c r="C395" s="4">
        <v>3401008</v>
      </c>
      <c r="D395" s="2" t="s">
        <v>631</v>
      </c>
      <c r="E395" s="2" t="s">
        <v>631</v>
      </c>
      <c r="G395" s="1" t="str">
        <f>LEFT(الصنف[[#This Row],[تصنيف فرعي (2)]],4)</f>
        <v>3401</v>
      </c>
      <c r="H395" s="5" t="s">
        <v>1029</v>
      </c>
      <c r="I395" s="5" t="str">
        <f>LEFT(الصنف[[#This Row],[تصنيف فرعي (1)]],2)</f>
        <v>34</v>
      </c>
      <c r="J395" s="1" t="s">
        <v>662</v>
      </c>
      <c r="K395" s="1">
        <f>VLOOKUP(الصنف[[#This Row],[وحده القياس]],$S$4:$T$67,2,TRUE)</f>
        <v>43</v>
      </c>
      <c r="L395" s="1" t="s">
        <v>742</v>
      </c>
      <c r="M395" s="1">
        <v>1</v>
      </c>
      <c r="N395" s="6" t="s">
        <v>742</v>
      </c>
      <c r="O395" s="7"/>
      <c r="P395" s="9">
        <f>IF(الصنف[[#This Row],[وحده المكونات]]="جرام",1,0)</f>
        <v>0</v>
      </c>
    </row>
    <row r="396" spans="2:16" ht="20.100000000000001" customHeight="1" x14ac:dyDescent="0.2">
      <c r="B396" s="4">
        <v>394</v>
      </c>
      <c r="C396" s="4">
        <v>3401009</v>
      </c>
      <c r="D396" s="2" t="s">
        <v>482</v>
      </c>
      <c r="E396" s="2" t="s">
        <v>482</v>
      </c>
      <c r="G396" s="1" t="str">
        <f>LEFT(الصنف[[#This Row],[تصنيف فرعي (2)]],4)</f>
        <v>3401</v>
      </c>
      <c r="H396" s="5" t="s">
        <v>1029</v>
      </c>
      <c r="I396" s="5" t="str">
        <f>LEFT(الصنف[[#This Row],[تصنيف فرعي (1)]],2)</f>
        <v>34</v>
      </c>
      <c r="J396" s="1" t="s">
        <v>662</v>
      </c>
      <c r="K396" s="1">
        <f>VLOOKUP(الصنف[[#This Row],[وحده القياس]],$S$4:$T$67,2,TRUE)</f>
        <v>43</v>
      </c>
      <c r="L396" s="1" t="s">
        <v>742</v>
      </c>
      <c r="M396" s="1">
        <v>1</v>
      </c>
      <c r="N396" s="6" t="s">
        <v>742</v>
      </c>
      <c r="O396" s="7"/>
      <c r="P396" s="9">
        <f>IF(الصنف[[#This Row],[وحده المكونات]]="جرام",1,0)</f>
        <v>0</v>
      </c>
    </row>
    <row r="397" spans="2:16" ht="20.100000000000001" customHeight="1" x14ac:dyDescent="0.2">
      <c r="B397" s="4">
        <v>395</v>
      </c>
      <c r="C397" s="4">
        <v>3401010</v>
      </c>
      <c r="D397" s="2" t="s">
        <v>766</v>
      </c>
      <c r="E397" s="2" t="s">
        <v>766</v>
      </c>
      <c r="G397" s="1" t="str">
        <f>LEFT(الصنف[[#This Row],[تصنيف فرعي (2)]],4)</f>
        <v>3401</v>
      </c>
      <c r="H397" s="5" t="s">
        <v>1029</v>
      </c>
      <c r="I397" s="5" t="str">
        <f>LEFT(الصنف[[#This Row],[تصنيف فرعي (1)]],2)</f>
        <v>34</v>
      </c>
      <c r="J397" s="1" t="s">
        <v>662</v>
      </c>
      <c r="K397" s="1">
        <f>VLOOKUP(الصنف[[#This Row],[وحده القياس]],$S$4:$T$67,2,TRUE)</f>
        <v>43</v>
      </c>
      <c r="L397" s="1" t="s">
        <v>742</v>
      </c>
      <c r="M397" s="1">
        <v>1</v>
      </c>
      <c r="N397" s="6" t="s">
        <v>742</v>
      </c>
      <c r="O397" s="7"/>
      <c r="P397" s="9">
        <f>IF(الصنف[[#This Row],[وحده المكونات]]="جرام",1,0)</f>
        <v>0</v>
      </c>
    </row>
    <row r="398" spans="2:16" ht="20.100000000000001" customHeight="1" x14ac:dyDescent="0.2">
      <c r="B398" s="4">
        <v>396</v>
      </c>
      <c r="C398" s="4">
        <v>3401011</v>
      </c>
      <c r="D398" s="2" t="s">
        <v>468</v>
      </c>
      <c r="E398" s="2" t="s">
        <v>468</v>
      </c>
      <c r="G398" s="1" t="str">
        <f>LEFT(الصنف[[#This Row],[تصنيف فرعي (2)]],4)</f>
        <v>3401</v>
      </c>
      <c r="H398" s="5" t="s">
        <v>1029</v>
      </c>
      <c r="I398" s="5" t="str">
        <f>LEFT(الصنف[[#This Row],[تصنيف فرعي (1)]],2)</f>
        <v>34</v>
      </c>
      <c r="J398" s="1" t="s">
        <v>662</v>
      </c>
      <c r="K398" s="1">
        <f>VLOOKUP(الصنف[[#This Row],[وحده القياس]],$S$4:$T$67,2,TRUE)</f>
        <v>62</v>
      </c>
      <c r="L398" s="1" t="s">
        <v>386</v>
      </c>
      <c r="M398" s="1">
        <v>1</v>
      </c>
      <c r="N398" s="6" t="s">
        <v>386</v>
      </c>
      <c r="O398" s="7"/>
      <c r="P398" s="9">
        <f>IF(الصنف[[#This Row],[وحده المكونات]]="جرام",1,0)</f>
        <v>0</v>
      </c>
    </row>
    <row r="399" spans="2:16" ht="20.100000000000001" customHeight="1" x14ac:dyDescent="0.2">
      <c r="B399" s="4">
        <v>397</v>
      </c>
      <c r="C399" s="4">
        <v>3401012</v>
      </c>
      <c r="D399" s="2" t="s">
        <v>542</v>
      </c>
      <c r="E399" s="2" t="s">
        <v>542</v>
      </c>
      <c r="G399" s="1" t="str">
        <f>LEFT(الصنف[[#This Row],[تصنيف فرعي (2)]],4)</f>
        <v>3401</v>
      </c>
      <c r="H399" s="5" t="s">
        <v>1029</v>
      </c>
      <c r="I399" s="5" t="str">
        <f>LEFT(الصنف[[#This Row],[تصنيف فرعي (1)]],2)</f>
        <v>34</v>
      </c>
      <c r="J399" s="1" t="s">
        <v>662</v>
      </c>
      <c r="K399" s="1">
        <f>VLOOKUP(الصنف[[#This Row],[وحده القياس]],$S$4:$T$67,2,TRUE)</f>
        <v>43</v>
      </c>
      <c r="L399" s="1" t="s">
        <v>742</v>
      </c>
      <c r="M399" s="1">
        <v>1</v>
      </c>
      <c r="N399" s="6" t="s">
        <v>742</v>
      </c>
      <c r="O399" s="7"/>
      <c r="P399" s="9">
        <f>IF(الصنف[[#This Row],[وحده المكونات]]="جرام",1,0)</f>
        <v>0</v>
      </c>
    </row>
    <row r="400" spans="2:16" ht="20.100000000000001" customHeight="1" x14ac:dyDescent="0.2">
      <c r="B400" s="4">
        <v>398</v>
      </c>
      <c r="C400" s="4">
        <v>3401013</v>
      </c>
      <c r="D400" s="2" t="s">
        <v>115</v>
      </c>
      <c r="E400" s="2" t="s">
        <v>115</v>
      </c>
      <c r="G400" s="1" t="str">
        <f>LEFT(الصنف[[#This Row],[تصنيف فرعي (2)]],4)</f>
        <v>3401</v>
      </c>
      <c r="H400" s="5" t="s">
        <v>1029</v>
      </c>
      <c r="I400" s="5" t="str">
        <f>LEFT(الصنف[[#This Row],[تصنيف فرعي (1)]],2)</f>
        <v>34</v>
      </c>
      <c r="J400" s="1" t="s">
        <v>662</v>
      </c>
      <c r="K400" s="1">
        <f>VLOOKUP(الصنف[[#This Row],[وحده القياس]],$S$4:$T$67,2,TRUE)</f>
        <v>43</v>
      </c>
      <c r="L400" s="1" t="s">
        <v>742</v>
      </c>
      <c r="M400" s="1">
        <v>1</v>
      </c>
      <c r="N400" s="6" t="s">
        <v>742</v>
      </c>
      <c r="O400" s="7"/>
      <c r="P400" s="9">
        <f>IF(الصنف[[#This Row],[وحده المكونات]]="جرام",1,0)</f>
        <v>0</v>
      </c>
    </row>
    <row r="401" spans="2:16" ht="20.100000000000001" customHeight="1" x14ac:dyDescent="0.2">
      <c r="B401" s="4">
        <v>399</v>
      </c>
      <c r="C401" s="4">
        <v>3401014</v>
      </c>
      <c r="D401" s="2" t="s">
        <v>570</v>
      </c>
      <c r="E401" s="2" t="s">
        <v>570</v>
      </c>
      <c r="G401" s="1" t="str">
        <f>LEFT(الصنف[[#This Row],[تصنيف فرعي (2)]],4)</f>
        <v>3401</v>
      </c>
      <c r="H401" s="5" t="s">
        <v>1029</v>
      </c>
      <c r="I401" s="5" t="str">
        <f>LEFT(الصنف[[#This Row],[تصنيف فرعي (1)]],2)</f>
        <v>34</v>
      </c>
      <c r="J401" s="1" t="s">
        <v>662</v>
      </c>
      <c r="K401" s="1">
        <f>VLOOKUP(الصنف[[#This Row],[وحده القياس]],$S$4:$T$67,2,TRUE)</f>
        <v>43</v>
      </c>
      <c r="L401" s="1" t="s">
        <v>742</v>
      </c>
      <c r="M401" s="1">
        <v>1</v>
      </c>
      <c r="N401" s="6" t="s">
        <v>742</v>
      </c>
      <c r="O401" s="7"/>
      <c r="P401" s="9">
        <f>IF(الصنف[[#This Row],[وحده المكونات]]="جرام",1,0)</f>
        <v>0</v>
      </c>
    </row>
    <row r="402" spans="2:16" ht="20.100000000000001" customHeight="1" x14ac:dyDescent="0.2">
      <c r="B402" s="4">
        <v>400</v>
      </c>
      <c r="C402" s="4">
        <v>3401015</v>
      </c>
      <c r="D402" s="2" t="s">
        <v>571</v>
      </c>
      <c r="E402" s="2" t="s">
        <v>571</v>
      </c>
      <c r="G402" s="1" t="str">
        <f>LEFT(الصنف[[#This Row],[تصنيف فرعي (2)]],4)</f>
        <v>3401</v>
      </c>
      <c r="H402" s="5" t="s">
        <v>1029</v>
      </c>
      <c r="I402" s="5" t="str">
        <f>LEFT(الصنف[[#This Row],[تصنيف فرعي (1)]],2)</f>
        <v>34</v>
      </c>
      <c r="J402" s="1" t="s">
        <v>662</v>
      </c>
      <c r="K402" s="1">
        <f>VLOOKUP(الصنف[[#This Row],[وحده القياس]],$S$4:$T$67,2,TRUE)</f>
        <v>43</v>
      </c>
      <c r="L402" s="1" t="s">
        <v>742</v>
      </c>
      <c r="M402" s="1">
        <v>1</v>
      </c>
      <c r="N402" s="6" t="s">
        <v>742</v>
      </c>
      <c r="O402" s="7"/>
      <c r="P402" s="9">
        <f>IF(الصنف[[#This Row],[وحده المكونات]]="جرام",1,0)</f>
        <v>0</v>
      </c>
    </row>
    <row r="403" spans="2:16" ht="20.100000000000001" customHeight="1" x14ac:dyDescent="0.2">
      <c r="B403" s="4">
        <v>401</v>
      </c>
      <c r="C403" s="4">
        <v>3401016</v>
      </c>
      <c r="D403" s="2" t="s">
        <v>373</v>
      </c>
      <c r="E403" s="2" t="s">
        <v>373</v>
      </c>
      <c r="G403" s="1" t="str">
        <f>LEFT(الصنف[[#This Row],[تصنيف فرعي (2)]],4)</f>
        <v>3401</v>
      </c>
      <c r="H403" s="5" t="s">
        <v>1029</v>
      </c>
      <c r="I403" s="5" t="str">
        <f>LEFT(الصنف[[#This Row],[تصنيف فرعي (1)]],2)</f>
        <v>34</v>
      </c>
      <c r="J403" s="1" t="s">
        <v>662</v>
      </c>
      <c r="K403" s="1">
        <f>VLOOKUP(الصنف[[#This Row],[وحده القياس]],$S$4:$T$67,2,TRUE)</f>
        <v>43</v>
      </c>
      <c r="L403" s="1" t="s">
        <v>742</v>
      </c>
      <c r="M403" s="1">
        <v>1</v>
      </c>
      <c r="N403" s="6" t="s">
        <v>742</v>
      </c>
      <c r="O403" s="7"/>
      <c r="P403" s="9">
        <f>IF(الصنف[[#This Row],[وحده المكونات]]="جرام",1,0)</f>
        <v>0</v>
      </c>
    </row>
    <row r="404" spans="2:16" ht="20.100000000000001" customHeight="1" x14ac:dyDescent="0.2">
      <c r="B404" s="4">
        <v>402</v>
      </c>
      <c r="C404" s="4">
        <v>3401017</v>
      </c>
      <c r="D404" s="2" t="s">
        <v>323</v>
      </c>
      <c r="E404" s="2" t="s">
        <v>323</v>
      </c>
      <c r="G404" s="1" t="str">
        <f>LEFT(الصنف[[#This Row],[تصنيف فرعي (2)]],4)</f>
        <v>3401</v>
      </c>
      <c r="H404" s="5" t="s">
        <v>1029</v>
      </c>
      <c r="I404" s="5" t="str">
        <f>LEFT(الصنف[[#This Row],[تصنيف فرعي (1)]],2)</f>
        <v>34</v>
      </c>
      <c r="J404" s="1" t="s">
        <v>662</v>
      </c>
      <c r="K404" s="1">
        <f>VLOOKUP(الصنف[[#This Row],[وحده القياس]],$S$4:$T$67,2,TRUE)</f>
        <v>43</v>
      </c>
      <c r="L404" s="1" t="s">
        <v>742</v>
      </c>
      <c r="M404" s="1">
        <v>1</v>
      </c>
      <c r="N404" s="6" t="s">
        <v>742</v>
      </c>
      <c r="O404" s="7"/>
      <c r="P404" s="9">
        <f>IF(الصنف[[#This Row],[وحده المكونات]]="جرام",1,0)</f>
        <v>0</v>
      </c>
    </row>
    <row r="405" spans="2:16" ht="20.100000000000001" customHeight="1" x14ac:dyDescent="0.2">
      <c r="B405" s="4">
        <v>403</v>
      </c>
      <c r="C405" s="4">
        <v>3401018</v>
      </c>
      <c r="D405" s="2" t="s">
        <v>126</v>
      </c>
      <c r="E405" s="2" t="s">
        <v>126</v>
      </c>
      <c r="G405" s="1" t="str">
        <f>LEFT(الصنف[[#This Row],[تصنيف فرعي (2)]],4)</f>
        <v>3401</v>
      </c>
      <c r="H405" s="5" t="s">
        <v>1029</v>
      </c>
      <c r="I405" s="5" t="str">
        <f>LEFT(الصنف[[#This Row],[تصنيف فرعي (1)]],2)</f>
        <v>34</v>
      </c>
      <c r="J405" s="1" t="s">
        <v>662</v>
      </c>
      <c r="K405" s="1">
        <f>VLOOKUP(الصنف[[#This Row],[وحده القياس]],$S$4:$T$67,2,TRUE)</f>
        <v>43</v>
      </c>
      <c r="L405" s="1" t="s">
        <v>742</v>
      </c>
      <c r="M405" s="1">
        <v>1</v>
      </c>
      <c r="N405" s="6" t="s">
        <v>742</v>
      </c>
      <c r="O405" s="7"/>
      <c r="P405" s="9">
        <f>IF(الصنف[[#This Row],[وحده المكونات]]="جرام",1,0)</f>
        <v>0</v>
      </c>
    </row>
    <row r="406" spans="2:16" ht="20.100000000000001" customHeight="1" x14ac:dyDescent="0.2">
      <c r="B406" s="4">
        <v>404</v>
      </c>
      <c r="C406" s="4">
        <v>3401019</v>
      </c>
      <c r="D406" s="2" t="s">
        <v>924</v>
      </c>
      <c r="E406" s="2" t="s">
        <v>924</v>
      </c>
      <c r="G406" s="1" t="str">
        <f>LEFT(الصنف[[#This Row],[تصنيف فرعي (2)]],4)</f>
        <v>3401</v>
      </c>
      <c r="H406" s="5" t="s">
        <v>1029</v>
      </c>
      <c r="I406" s="5" t="str">
        <f>LEFT(الصنف[[#This Row],[تصنيف فرعي (1)]],2)</f>
        <v>34</v>
      </c>
      <c r="J406" s="1" t="s">
        <v>662</v>
      </c>
      <c r="K406" s="1">
        <f>VLOOKUP(الصنف[[#This Row],[وحده القياس]],$S$4:$T$67,2,TRUE)</f>
        <v>43</v>
      </c>
      <c r="L406" s="1" t="s">
        <v>742</v>
      </c>
      <c r="M406" s="1">
        <v>1</v>
      </c>
      <c r="N406" s="6" t="s">
        <v>742</v>
      </c>
      <c r="O406" s="7"/>
      <c r="P406" s="9">
        <f>IF(الصنف[[#This Row],[وحده المكونات]]="جرام",1,0)</f>
        <v>0</v>
      </c>
    </row>
    <row r="407" spans="2:16" ht="20.100000000000001" customHeight="1" x14ac:dyDescent="0.2">
      <c r="B407" s="4">
        <v>405</v>
      </c>
      <c r="C407" s="4">
        <v>3401020</v>
      </c>
      <c r="D407" s="2" t="s">
        <v>103</v>
      </c>
      <c r="E407" s="2" t="s">
        <v>103</v>
      </c>
      <c r="G407" s="1" t="str">
        <f>LEFT(الصنف[[#This Row],[تصنيف فرعي (2)]],4)</f>
        <v>3401</v>
      </c>
      <c r="H407" s="5" t="s">
        <v>1029</v>
      </c>
      <c r="I407" s="5" t="str">
        <f>LEFT(الصنف[[#This Row],[تصنيف فرعي (1)]],2)</f>
        <v>34</v>
      </c>
      <c r="J407" s="1" t="s">
        <v>662</v>
      </c>
      <c r="K407" s="1">
        <f>VLOOKUP(الصنف[[#This Row],[وحده القياس]],$S$4:$T$67,2,TRUE)</f>
        <v>43</v>
      </c>
      <c r="L407" s="1" t="s">
        <v>742</v>
      </c>
      <c r="M407" s="1">
        <v>1</v>
      </c>
      <c r="N407" s="6" t="s">
        <v>742</v>
      </c>
      <c r="O407" s="7"/>
      <c r="P407" s="9">
        <f>IF(الصنف[[#This Row],[وحده المكونات]]="جرام",1,0)</f>
        <v>0</v>
      </c>
    </row>
    <row r="408" spans="2:16" ht="20.100000000000001" customHeight="1" x14ac:dyDescent="0.2">
      <c r="B408" s="4">
        <v>406</v>
      </c>
      <c r="C408" s="4">
        <v>3401021</v>
      </c>
      <c r="D408" s="2" t="s">
        <v>125</v>
      </c>
      <c r="E408" s="2" t="s">
        <v>125</v>
      </c>
      <c r="G408" s="1" t="str">
        <f>LEFT(الصنف[[#This Row],[تصنيف فرعي (2)]],4)</f>
        <v>3401</v>
      </c>
      <c r="H408" s="5" t="s">
        <v>1029</v>
      </c>
      <c r="I408" s="5" t="str">
        <f>LEFT(الصنف[[#This Row],[تصنيف فرعي (1)]],2)</f>
        <v>34</v>
      </c>
      <c r="J408" s="1" t="s">
        <v>662</v>
      </c>
      <c r="K408" s="1">
        <f>VLOOKUP(الصنف[[#This Row],[وحده القياس]],$S$4:$T$67,2,TRUE)</f>
        <v>43</v>
      </c>
      <c r="L408" s="1" t="s">
        <v>742</v>
      </c>
      <c r="M408" s="1">
        <v>1</v>
      </c>
      <c r="N408" s="6" t="s">
        <v>742</v>
      </c>
      <c r="O408" s="7"/>
      <c r="P408" s="9">
        <f>IF(الصنف[[#This Row],[وحده المكونات]]="جرام",1,0)</f>
        <v>0</v>
      </c>
    </row>
    <row r="409" spans="2:16" ht="20.100000000000001" customHeight="1" x14ac:dyDescent="0.2">
      <c r="B409" s="4">
        <v>407</v>
      </c>
      <c r="C409" s="4">
        <v>3401022</v>
      </c>
      <c r="D409" s="2" t="s">
        <v>116</v>
      </c>
      <c r="E409" s="2" t="s">
        <v>116</v>
      </c>
      <c r="G409" s="1" t="str">
        <f>LEFT(الصنف[[#This Row],[تصنيف فرعي (2)]],4)</f>
        <v>3401</v>
      </c>
      <c r="H409" s="5" t="s">
        <v>1029</v>
      </c>
      <c r="I409" s="5" t="str">
        <f>LEFT(الصنف[[#This Row],[تصنيف فرعي (1)]],2)</f>
        <v>34</v>
      </c>
      <c r="J409" s="1" t="s">
        <v>662</v>
      </c>
      <c r="K409" s="1">
        <f>VLOOKUP(الصنف[[#This Row],[وحده القياس]],$S$4:$T$67,2,TRUE)</f>
        <v>43</v>
      </c>
      <c r="L409" s="1" t="s">
        <v>742</v>
      </c>
      <c r="M409" s="1">
        <v>1</v>
      </c>
      <c r="N409" s="6" t="s">
        <v>742</v>
      </c>
      <c r="O409" s="7"/>
      <c r="P409" s="9">
        <f>IF(الصنف[[#This Row],[وحده المكونات]]="جرام",1,0)</f>
        <v>0</v>
      </c>
    </row>
    <row r="410" spans="2:16" ht="20.100000000000001" customHeight="1" x14ac:dyDescent="0.2">
      <c r="B410" s="4">
        <v>408</v>
      </c>
      <c r="C410" s="4">
        <v>3401023</v>
      </c>
      <c r="D410" s="2" t="s">
        <v>118</v>
      </c>
      <c r="E410" s="2" t="s">
        <v>118</v>
      </c>
      <c r="G410" s="1" t="str">
        <f>LEFT(الصنف[[#This Row],[تصنيف فرعي (2)]],4)</f>
        <v>3401</v>
      </c>
      <c r="H410" s="5" t="s">
        <v>1029</v>
      </c>
      <c r="I410" s="5" t="str">
        <f>LEFT(الصنف[[#This Row],[تصنيف فرعي (1)]],2)</f>
        <v>34</v>
      </c>
      <c r="J410" s="1" t="s">
        <v>662</v>
      </c>
      <c r="K410" s="1">
        <f>VLOOKUP(الصنف[[#This Row],[وحده القياس]],$S$4:$T$67,2,TRUE)</f>
        <v>43</v>
      </c>
      <c r="L410" s="1" t="s">
        <v>742</v>
      </c>
      <c r="M410" s="1">
        <v>1</v>
      </c>
      <c r="N410" s="6" t="s">
        <v>742</v>
      </c>
      <c r="O410" s="7"/>
      <c r="P410" s="9">
        <f>IF(الصنف[[#This Row],[وحده المكونات]]="جرام",1,0)</f>
        <v>0</v>
      </c>
    </row>
    <row r="411" spans="2:16" ht="20.100000000000001" customHeight="1" x14ac:dyDescent="0.2">
      <c r="B411" s="4">
        <v>409</v>
      </c>
      <c r="C411" s="4">
        <v>3401024</v>
      </c>
      <c r="D411" s="2" t="s">
        <v>117</v>
      </c>
      <c r="E411" s="2" t="s">
        <v>117</v>
      </c>
      <c r="G411" s="1" t="str">
        <f>LEFT(الصنف[[#This Row],[تصنيف فرعي (2)]],4)</f>
        <v>3401</v>
      </c>
      <c r="H411" s="5" t="s">
        <v>1029</v>
      </c>
      <c r="I411" s="5" t="str">
        <f>LEFT(الصنف[[#This Row],[تصنيف فرعي (1)]],2)</f>
        <v>34</v>
      </c>
      <c r="J411" s="1" t="s">
        <v>662</v>
      </c>
      <c r="K411" s="1">
        <f>VLOOKUP(الصنف[[#This Row],[وحده القياس]],$S$4:$T$67,2,TRUE)</f>
        <v>43</v>
      </c>
      <c r="L411" s="1" t="s">
        <v>742</v>
      </c>
      <c r="M411" s="1">
        <v>1</v>
      </c>
      <c r="N411" s="6" t="s">
        <v>742</v>
      </c>
      <c r="O411" s="7"/>
      <c r="P411" s="9">
        <f>IF(الصنف[[#This Row],[وحده المكونات]]="جرام",1,0)</f>
        <v>0</v>
      </c>
    </row>
    <row r="412" spans="2:16" ht="20.100000000000001" customHeight="1" x14ac:dyDescent="0.2">
      <c r="B412" s="4">
        <v>410</v>
      </c>
      <c r="C412" s="4">
        <v>3401025</v>
      </c>
      <c r="D412" s="2" t="s">
        <v>532</v>
      </c>
      <c r="E412" s="2" t="s">
        <v>532</v>
      </c>
      <c r="G412" s="1" t="str">
        <f>LEFT(الصنف[[#This Row],[تصنيف فرعي (2)]],4)</f>
        <v>3401</v>
      </c>
      <c r="H412" s="5" t="s">
        <v>1029</v>
      </c>
      <c r="I412" s="5" t="str">
        <f>LEFT(الصنف[[#This Row],[تصنيف فرعي (1)]],2)</f>
        <v>34</v>
      </c>
      <c r="J412" s="1" t="s">
        <v>662</v>
      </c>
      <c r="K412" s="1">
        <f>VLOOKUP(الصنف[[#This Row],[وحده القياس]],$S$4:$T$67,2,TRUE)</f>
        <v>43</v>
      </c>
      <c r="L412" s="1" t="s">
        <v>742</v>
      </c>
      <c r="M412" s="1">
        <v>1</v>
      </c>
      <c r="N412" s="6" t="s">
        <v>742</v>
      </c>
      <c r="O412" s="7"/>
      <c r="P412" s="9">
        <f>IF(الصنف[[#This Row],[وحده المكونات]]="جرام",1,0)</f>
        <v>0</v>
      </c>
    </row>
    <row r="413" spans="2:16" ht="20.100000000000001" customHeight="1" x14ac:dyDescent="0.2">
      <c r="B413" s="4">
        <v>411</v>
      </c>
      <c r="C413" s="4">
        <v>3401026</v>
      </c>
      <c r="D413" s="2" t="s">
        <v>123</v>
      </c>
      <c r="E413" s="2" t="s">
        <v>123</v>
      </c>
      <c r="G413" s="1" t="str">
        <f>LEFT(الصنف[[#This Row],[تصنيف فرعي (2)]],4)</f>
        <v>3401</v>
      </c>
      <c r="H413" s="5" t="s">
        <v>1029</v>
      </c>
      <c r="I413" s="5" t="str">
        <f>LEFT(الصنف[[#This Row],[تصنيف فرعي (1)]],2)</f>
        <v>34</v>
      </c>
      <c r="J413" s="1" t="s">
        <v>662</v>
      </c>
      <c r="K413" s="1">
        <f>VLOOKUP(الصنف[[#This Row],[وحده القياس]],$S$4:$T$67,2,TRUE)</f>
        <v>43</v>
      </c>
      <c r="L413" s="1" t="s">
        <v>742</v>
      </c>
      <c r="M413" s="1">
        <v>1</v>
      </c>
      <c r="N413" s="6" t="s">
        <v>742</v>
      </c>
      <c r="O413" s="7"/>
      <c r="P413" s="9">
        <f>IF(الصنف[[#This Row],[وحده المكونات]]="جرام",1,0)</f>
        <v>0</v>
      </c>
    </row>
    <row r="414" spans="2:16" ht="20.100000000000001" customHeight="1" x14ac:dyDescent="0.2">
      <c r="B414" s="4">
        <v>412</v>
      </c>
      <c r="C414" s="4">
        <v>3401027</v>
      </c>
      <c r="D414" s="2" t="s">
        <v>124</v>
      </c>
      <c r="E414" s="2" t="s">
        <v>124</v>
      </c>
      <c r="G414" s="1" t="str">
        <f>LEFT(الصنف[[#This Row],[تصنيف فرعي (2)]],4)</f>
        <v>3401</v>
      </c>
      <c r="H414" s="5" t="s">
        <v>1029</v>
      </c>
      <c r="I414" s="5" t="str">
        <f>LEFT(الصنف[[#This Row],[تصنيف فرعي (1)]],2)</f>
        <v>34</v>
      </c>
      <c r="J414" s="1" t="s">
        <v>662</v>
      </c>
      <c r="K414" s="1">
        <f>VLOOKUP(الصنف[[#This Row],[وحده القياس]],$S$4:$T$67,2,TRUE)</f>
        <v>43</v>
      </c>
      <c r="L414" s="1" t="s">
        <v>742</v>
      </c>
      <c r="M414" s="1">
        <v>1</v>
      </c>
      <c r="N414" s="6" t="s">
        <v>742</v>
      </c>
      <c r="O414" s="7"/>
      <c r="P414" s="9">
        <f>IF(الصنف[[#This Row],[وحده المكونات]]="جرام",1,0)</f>
        <v>0</v>
      </c>
    </row>
    <row r="415" spans="2:16" ht="20.100000000000001" customHeight="1" x14ac:dyDescent="0.2">
      <c r="B415" s="4">
        <v>413</v>
      </c>
      <c r="C415" s="4">
        <v>3401028</v>
      </c>
      <c r="D415" s="2" t="s">
        <v>443</v>
      </c>
      <c r="E415" s="2" t="s">
        <v>443</v>
      </c>
      <c r="G415" s="1" t="str">
        <f>LEFT(الصنف[[#This Row],[تصنيف فرعي (2)]],4)</f>
        <v>3401</v>
      </c>
      <c r="H415" s="5" t="s">
        <v>1029</v>
      </c>
      <c r="I415" s="5" t="str">
        <f>LEFT(الصنف[[#This Row],[تصنيف فرعي (1)]],2)</f>
        <v>34</v>
      </c>
      <c r="J415" s="1" t="s">
        <v>662</v>
      </c>
      <c r="K415" s="1">
        <f>VLOOKUP(الصنف[[#This Row],[وحده القياس]],$S$4:$T$67,2,TRUE)</f>
        <v>43</v>
      </c>
      <c r="L415" s="1" t="s">
        <v>742</v>
      </c>
      <c r="M415" s="1">
        <v>1</v>
      </c>
      <c r="N415" s="6" t="s">
        <v>742</v>
      </c>
      <c r="O415" s="7"/>
      <c r="P415" s="9">
        <f>IF(الصنف[[#This Row],[وحده المكونات]]="جرام",1,0)</f>
        <v>0</v>
      </c>
    </row>
    <row r="416" spans="2:16" ht="20.100000000000001" customHeight="1" x14ac:dyDescent="0.2">
      <c r="B416" s="4">
        <v>414</v>
      </c>
      <c r="C416" s="4">
        <v>3402001</v>
      </c>
      <c r="D416" s="2" t="s">
        <v>121</v>
      </c>
      <c r="E416" s="2" t="s">
        <v>121</v>
      </c>
      <c r="G416" s="1" t="str">
        <f>LEFT(الصنف[[#This Row],[تصنيف فرعي (2)]],4)</f>
        <v>3402</v>
      </c>
      <c r="H416" s="5" t="s">
        <v>1031</v>
      </c>
      <c r="I416" s="5" t="str">
        <f>LEFT(الصنف[[#This Row],[تصنيف فرعي (1)]],2)</f>
        <v>34</v>
      </c>
      <c r="J416" s="1" t="s">
        <v>662</v>
      </c>
      <c r="K416" s="1">
        <f>VLOOKUP(الصنف[[#This Row],[وحده القياس]],$S$4:$T$67,2,TRUE)</f>
        <v>61</v>
      </c>
      <c r="L416" s="1" t="s">
        <v>750</v>
      </c>
      <c r="M416" s="1">
        <v>1000</v>
      </c>
      <c r="N416" s="6" t="s">
        <v>743</v>
      </c>
      <c r="O416" s="7"/>
      <c r="P416" s="9">
        <f>IF(الصنف[[#This Row],[وحده المكونات]]="جرام",1,0)</f>
        <v>0</v>
      </c>
    </row>
    <row r="417" spans="2:16" ht="20.100000000000001" customHeight="1" x14ac:dyDescent="0.2">
      <c r="B417" s="4">
        <v>415</v>
      </c>
      <c r="C417" s="4">
        <v>3402002</v>
      </c>
      <c r="D417" s="2" t="s">
        <v>446</v>
      </c>
      <c r="E417" s="2" t="s">
        <v>446</v>
      </c>
      <c r="G417" s="1" t="str">
        <f>LEFT(الصنف[[#This Row],[تصنيف فرعي (2)]],4)</f>
        <v>3402</v>
      </c>
      <c r="H417" s="5" t="s">
        <v>1031</v>
      </c>
      <c r="I417" s="5" t="str">
        <f>LEFT(الصنف[[#This Row],[تصنيف فرعي (1)]],2)</f>
        <v>34</v>
      </c>
      <c r="J417" s="1" t="s">
        <v>662</v>
      </c>
      <c r="K417" s="1">
        <f>VLOOKUP(الصنف[[#This Row],[وحده القياس]],$S$4:$T$67,2,TRUE)</f>
        <v>61</v>
      </c>
      <c r="L417" s="1" t="s">
        <v>750</v>
      </c>
      <c r="M417" s="1">
        <v>1000</v>
      </c>
      <c r="N417" s="6" t="s">
        <v>743</v>
      </c>
      <c r="O417" s="7"/>
      <c r="P417" s="9">
        <f>IF(الصنف[[#This Row],[وحده المكونات]]="جرام",1,0)</f>
        <v>0</v>
      </c>
    </row>
    <row r="418" spans="2:16" ht="20.100000000000001" customHeight="1" x14ac:dyDescent="0.2">
      <c r="B418" s="4">
        <v>416</v>
      </c>
      <c r="C418" s="4">
        <v>3402003</v>
      </c>
      <c r="D418" s="2" t="s">
        <v>284</v>
      </c>
      <c r="E418" s="2" t="s">
        <v>284</v>
      </c>
      <c r="G418" s="1" t="str">
        <f>LEFT(الصنف[[#This Row],[تصنيف فرعي (2)]],4)</f>
        <v>3402</v>
      </c>
      <c r="H418" s="5" t="s">
        <v>1031</v>
      </c>
      <c r="I418" s="5" t="str">
        <f>LEFT(الصنف[[#This Row],[تصنيف فرعي (1)]],2)</f>
        <v>34</v>
      </c>
      <c r="J418" s="1" t="s">
        <v>662</v>
      </c>
      <c r="K418" s="1">
        <f>VLOOKUP(الصنف[[#This Row],[وحده القياس]],$S$4:$T$67,2,TRUE)</f>
        <v>33</v>
      </c>
      <c r="L418" s="1" t="s">
        <v>382</v>
      </c>
      <c r="M418" s="1">
        <v>1</v>
      </c>
      <c r="N418" s="6" t="s">
        <v>382</v>
      </c>
      <c r="O418" s="7"/>
      <c r="P418" s="9">
        <f>IF(الصنف[[#This Row],[وحده المكونات]]="جرام",1,0)</f>
        <v>0</v>
      </c>
    </row>
    <row r="419" spans="2:16" ht="20.100000000000001" customHeight="1" x14ac:dyDescent="0.2">
      <c r="B419" s="4">
        <v>417</v>
      </c>
      <c r="C419" s="4">
        <v>3402004</v>
      </c>
      <c r="D419" s="2" t="s">
        <v>362</v>
      </c>
      <c r="E419" s="2" t="s">
        <v>362</v>
      </c>
      <c r="G419" s="1" t="str">
        <f>LEFT(الصنف[[#This Row],[تصنيف فرعي (2)]],4)</f>
        <v>3402</v>
      </c>
      <c r="H419" s="5" t="s">
        <v>1031</v>
      </c>
      <c r="I419" s="5" t="str">
        <f>LEFT(الصنف[[#This Row],[تصنيف فرعي (1)]],2)</f>
        <v>34</v>
      </c>
      <c r="J419" s="1" t="s">
        <v>662</v>
      </c>
      <c r="K419" s="1">
        <f>VLOOKUP(الصنف[[#This Row],[وحده القياس]],$S$4:$T$67,2,TRUE)</f>
        <v>61</v>
      </c>
      <c r="L419" s="1" t="s">
        <v>750</v>
      </c>
      <c r="M419" s="1">
        <v>1000</v>
      </c>
      <c r="N419" s="6" t="s">
        <v>743</v>
      </c>
      <c r="O419" s="7"/>
      <c r="P419" s="9">
        <f>IF(الصنف[[#This Row],[وحده المكونات]]="جرام",1,0)</f>
        <v>0</v>
      </c>
    </row>
    <row r="420" spans="2:16" ht="20.100000000000001" customHeight="1" x14ac:dyDescent="0.2">
      <c r="B420" s="4">
        <v>418</v>
      </c>
      <c r="C420" s="4">
        <v>3402005</v>
      </c>
      <c r="D420" s="2" t="s">
        <v>1051</v>
      </c>
      <c r="E420" s="2" t="s">
        <v>621</v>
      </c>
      <c r="G420" s="1" t="str">
        <f>LEFT(الصنف[[#This Row],[تصنيف فرعي (2)]],4)</f>
        <v>3402</v>
      </c>
      <c r="H420" s="5" t="s">
        <v>1031</v>
      </c>
      <c r="I420" s="5" t="str">
        <f>LEFT(الصنف[[#This Row],[تصنيف فرعي (1)]],2)</f>
        <v>34</v>
      </c>
      <c r="J420" s="1" t="s">
        <v>662</v>
      </c>
      <c r="K420" s="1">
        <f>VLOOKUP(الصنف[[#This Row],[وحده القياس]],$S$4:$T$67,2,TRUE)</f>
        <v>43</v>
      </c>
      <c r="L420" s="1" t="s">
        <v>742</v>
      </c>
      <c r="M420" s="1">
        <v>1</v>
      </c>
      <c r="N420" s="6" t="s">
        <v>742</v>
      </c>
      <c r="O420" s="7"/>
      <c r="P420" s="9">
        <f>IF(الصنف[[#This Row],[وحده المكونات]]="جرام",1,0)</f>
        <v>0</v>
      </c>
    </row>
    <row r="421" spans="2:16" ht="20.100000000000001" customHeight="1" x14ac:dyDescent="0.2">
      <c r="B421" s="4">
        <v>419</v>
      </c>
      <c r="C421" s="4">
        <v>3402006</v>
      </c>
      <c r="D421" s="2" t="s">
        <v>114</v>
      </c>
      <c r="E421" s="2" t="s">
        <v>114</v>
      </c>
      <c r="G421" s="1" t="str">
        <f>LEFT(الصنف[[#This Row],[تصنيف فرعي (2)]],4)</f>
        <v>3402</v>
      </c>
      <c r="H421" s="5" t="s">
        <v>1031</v>
      </c>
      <c r="I421" s="5" t="str">
        <f>LEFT(الصنف[[#This Row],[تصنيف فرعي (1)]],2)</f>
        <v>34</v>
      </c>
      <c r="J421" s="1" t="s">
        <v>662</v>
      </c>
      <c r="K421" s="1">
        <f>VLOOKUP(الصنف[[#This Row],[وحده القياس]],$S$4:$T$67,2,TRUE)</f>
        <v>61</v>
      </c>
      <c r="L421" s="1" t="s">
        <v>750</v>
      </c>
      <c r="M421" s="1">
        <v>1000</v>
      </c>
      <c r="N421" s="6" t="s">
        <v>743</v>
      </c>
      <c r="O421" s="7"/>
      <c r="P421" s="9">
        <f>IF(الصنف[[#This Row],[وحده المكونات]]="جرام",1,0)</f>
        <v>0</v>
      </c>
    </row>
    <row r="422" spans="2:16" ht="20.100000000000001" customHeight="1" x14ac:dyDescent="0.2">
      <c r="B422" s="4">
        <v>420</v>
      </c>
      <c r="C422" s="4">
        <v>3402007</v>
      </c>
      <c r="D422" s="2" t="s">
        <v>128</v>
      </c>
      <c r="E422" s="2" t="s">
        <v>128</v>
      </c>
      <c r="G422" s="1" t="str">
        <f>LEFT(الصنف[[#This Row],[تصنيف فرعي (2)]],4)</f>
        <v>3402</v>
      </c>
      <c r="H422" s="5" t="s">
        <v>1031</v>
      </c>
      <c r="I422" s="5" t="str">
        <f>LEFT(الصنف[[#This Row],[تصنيف فرعي (1)]],2)</f>
        <v>34</v>
      </c>
      <c r="J422" s="1" t="s">
        <v>662</v>
      </c>
      <c r="K422" s="1">
        <f>VLOOKUP(الصنف[[#This Row],[وحده القياس]],$S$4:$T$67,2,TRUE)</f>
        <v>49</v>
      </c>
      <c r="L422" s="1" t="s">
        <v>383</v>
      </c>
      <c r="M422" s="1">
        <v>1</v>
      </c>
      <c r="N422" s="6" t="s">
        <v>383</v>
      </c>
      <c r="O422" s="7"/>
      <c r="P422" s="9">
        <f>IF(الصنف[[#This Row],[وحده المكونات]]="جرام",1,0)</f>
        <v>0</v>
      </c>
    </row>
    <row r="423" spans="2:16" ht="20.100000000000001" customHeight="1" x14ac:dyDescent="0.2">
      <c r="B423" s="4">
        <v>421</v>
      </c>
      <c r="C423" s="4">
        <v>3402008</v>
      </c>
      <c r="D423" s="2" t="s">
        <v>417</v>
      </c>
      <c r="E423" s="2" t="s">
        <v>417</v>
      </c>
      <c r="G423" s="1" t="str">
        <f>LEFT(الصنف[[#This Row],[تصنيف فرعي (2)]],4)</f>
        <v>3402</v>
      </c>
      <c r="H423" s="5" t="s">
        <v>1031</v>
      </c>
      <c r="I423" s="5" t="str">
        <f>LEFT(الصنف[[#This Row],[تصنيف فرعي (1)]],2)</f>
        <v>34</v>
      </c>
      <c r="J423" s="1" t="s">
        <v>662</v>
      </c>
      <c r="K423" s="1">
        <f>VLOOKUP(الصنف[[#This Row],[وحده القياس]],$S$4:$T$67,2,TRUE)</f>
        <v>14</v>
      </c>
      <c r="L423" s="1" t="s">
        <v>381</v>
      </c>
      <c r="M423" s="1">
        <v>1</v>
      </c>
      <c r="N423" s="6" t="s">
        <v>381</v>
      </c>
      <c r="O423" s="7"/>
      <c r="P423" s="9">
        <f>IF(الصنف[[#This Row],[وحده المكونات]]="جرام",1,0)</f>
        <v>0</v>
      </c>
    </row>
    <row r="424" spans="2:16" ht="20.100000000000001" customHeight="1" x14ac:dyDescent="0.2">
      <c r="B424" s="4">
        <v>422</v>
      </c>
      <c r="C424" s="4">
        <v>3402009</v>
      </c>
      <c r="D424" s="2" t="s">
        <v>501</v>
      </c>
      <c r="E424" s="2" t="s">
        <v>501</v>
      </c>
      <c r="G424" s="1" t="str">
        <f>LEFT(الصنف[[#This Row],[تصنيف فرعي (2)]],4)</f>
        <v>3402</v>
      </c>
      <c r="H424" s="5" t="s">
        <v>1031</v>
      </c>
      <c r="I424" s="5" t="str">
        <f>LEFT(الصنف[[#This Row],[تصنيف فرعي (1)]],2)</f>
        <v>34</v>
      </c>
      <c r="J424" s="1" t="s">
        <v>662</v>
      </c>
      <c r="K424" s="1">
        <f>VLOOKUP(الصنف[[#This Row],[وحده القياس]],$S$4:$T$67,2,TRUE)</f>
        <v>14</v>
      </c>
      <c r="L424" s="1" t="s">
        <v>381</v>
      </c>
      <c r="M424" s="1">
        <v>1</v>
      </c>
      <c r="N424" s="6" t="s">
        <v>381</v>
      </c>
      <c r="O424" s="7"/>
      <c r="P424" s="9">
        <f>IF(الصنف[[#This Row],[وحده المكونات]]="جرام",1,0)</f>
        <v>0</v>
      </c>
    </row>
    <row r="425" spans="2:16" ht="20.100000000000001" customHeight="1" x14ac:dyDescent="0.2">
      <c r="B425" s="4">
        <v>423</v>
      </c>
      <c r="C425" s="4">
        <v>3402010</v>
      </c>
      <c r="D425" s="2" t="s">
        <v>441</v>
      </c>
      <c r="E425" s="2" t="s">
        <v>441</v>
      </c>
      <c r="G425" s="1" t="str">
        <f>LEFT(الصنف[[#This Row],[تصنيف فرعي (2)]],4)</f>
        <v>3402</v>
      </c>
      <c r="H425" s="5" t="s">
        <v>1031</v>
      </c>
      <c r="I425" s="5" t="str">
        <f>LEFT(الصنف[[#This Row],[تصنيف فرعي (1)]],2)</f>
        <v>34</v>
      </c>
      <c r="J425" s="1" t="s">
        <v>662</v>
      </c>
      <c r="K425" s="1">
        <f>VLOOKUP(الصنف[[#This Row],[وحده القياس]],$S$4:$T$67,2,TRUE)</f>
        <v>11</v>
      </c>
      <c r="L425" s="1" t="s">
        <v>842</v>
      </c>
      <c r="M425" s="1">
        <v>10000</v>
      </c>
      <c r="N425" s="6" t="s">
        <v>743</v>
      </c>
      <c r="O425" s="7"/>
      <c r="P425" s="9">
        <f>IF(الصنف[[#This Row],[وحده المكونات]]="جرام",1,0)</f>
        <v>0</v>
      </c>
    </row>
    <row r="426" spans="2:16" ht="20.100000000000001" customHeight="1" x14ac:dyDescent="0.2">
      <c r="B426" s="4">
        <v>424</v>
      </c>
      <c r="C426" s="4">
        <v>3402011</v>
      </c>
      <c r="D426" s="2" t="s">
        <v>119</v>
      </c>
      <c r="E426" s="2" t="s">
        <v>119</v>
      </c>
      <c r="G426" s="1" t="str">
        <f>LEFT(الصنف[[#This Row],[تصنيف فرعي (2)]],4)</f>
        <v>3402</v>
      </c>
      <c r="H426" s="5" t="s">
        <v>1031</v>
      </c>
      <c r="I426" s="5" t="str">
        <f>LEFT(الصنف[[#This Row],[تصنيف فرعي (1)]],2)</f>
        <v>34</v>
      </c>
      <c r="J426" s="1" t="s">
        <v>662</v>
      </c>
      <c r="K426" s="1">
        <f>VLOOKUP(الصنف[[#This Row],[وحده القياس]],$S$4:$T$67,2,TRUE)</f>
        <v>11</v>
      </c>
      <c r="L426" s="1" t="s">
        <v>842</v>
      </c>
      <c r="M426" s="1">
        <v>10000</v>
      </c>
      <c r="N426" s="6" t="s">
        <v>743</v>
      </c>
      <c r="O426" s="7"/>
      <c r="P426" s="9">
        <f>IF(الصنف[[#This Row],[وحده المكونات]]="جرام",1,0)</f>
        <v>0</v>
      </c>
    </row>
    <row r="427" spans="2:16" ht="20.100000000000001" customHeight="1" x14ac:dyDescent="0.2">
      <c r="B427" s="4">
        <v>425</v>
      </c>
      <c r="C427" s="4">
        <v>3402012</v>
      </c>
      <c r="D427" s="2" t="s">
        <v>361</v>
      </c>
      <c r="E427" s="2" t="s">
        <v>361</v>
      </c>
      <c r="G427" s="1" t="str">
        <f>LEFT(الصنف[[#This Row],[تصنيف فرعي (2)]],4)</f>
        <v>3402</v>
      </c>
      <c r="H427" s="5" t="s">
        <v>1031</v>
      </c>
      <c r="I427" s="5" t="str">
        <f>LEFT(الصنف[[#This Row],[تصنيف فرعي (1)]],2)</f>
        <v>34</v>
      </c>
      <c r="J427" s="1" t="s">
        <v>662</v>
      </c>
      <c r="K427" s="1">
        <f>VLOOKUP(الصنف[[#This Row],[وحده القياس]],$S$4:$T$67,2,TRUE)</f>
        <v>11</v>
      </c>
      <c r="L427" s="1" t="s">
        <v>842</v>
      </c>
      <c r="M427" s="1">
        <v>10000</v>
      </c>
      <c r="N427" s="6" t="s">
        <v>743</v>
      </c>
      <c r="O427" s="7"/>
      <c r="P427" s="9">
        <f>IF(الصنف[[#This Row],[وحده المكونات]]="جرام",1,0)</f>
        <v>0</v>
      </c>
    </row>
    <row r="428" spans="2:16" ht="20.100000000000001" customHeight="1" x14ac:dyDescent="0.2">
      <c r="B428" s="4">
        <v>426</v>
      </c>
      <c r="C428" s="4">
        <v>3402013</v>
      </c>
      <c r="D428" s="2" t="s">
        <v>127</v>
      </c>
      <c r="E428" s="2" t="s">
        <v>127</v>
      </c>
      <c r="G428" s="1" t="str">
        <f>LEFT(الصنف[[#This Row],[تصنيف فرعي (2)]],4)</f>
        <v>3402</v>
      </c>
      <c r="H428" s="5" t="s">
        <v>1031</v>
      </c>
      <c r="I428" s="5" t="str">
        <f>LEFT(الصنف[[#This Row],[تصنيف فرعي (1)]],2)</f>
        <v>34</v>
      </c>
      <c r="J428" s="1" t="s">
        <v>662</v>
      </c>
      <c r="K428" s="1">
        <f>VLOOKUP(الصنف[[#This Row],[وحده القياس]],$S$4:$T$67,2,TRUE)</f>
        <v>10</v>
      </c>
      <c r="L428" s="1" t="s">
        <v>385</v>
      </c>
      <c r="M428" s="1">
        <v>1</v>
      </c>
      <c r="N428" s="6" t="s">
        <v>385</v>
      </c>
      <c r="O428" s="7"/>
      <c r="P428" s="9">
        <f>IF(الصنف[[#This Row],[وحده المكونات]]="جرام",1,0)</f>
        <v>0</v>
      </c>
    </row>
    <row r="429" spans="2:16" ht="20.100000000000001" customHeight="1" x14ac:dyDescent="0.2">
      <c r="B429" s="4">
        <v>427</v>
      </c>
      <c r="C429" s="4">
        <v>3402014</v>
      </c>
      <c r="D429" s="2" t="s">
        <v>444</v>
      </c>
      <c r="E429" s="2" t="s">
        <v>444</v>
      </c>
      <c r="G429" s="1" t="str">
        <f>LEFT(الصنف[[#This Row],[تصنيف فرعي (2)]],4)</f>
        <v>3402</v>
      </c>
      <c r="H429" s="5" t="s">
        <v>1031</v>
      </c>
      <c r="I429" s="5" t="str">
        <f>LEFT(الصنف[[#This Row],[تصنيف فرعي (1)]],2)</f>
        <v>34</v>
      </c>
      <c r="J429" s="1" t="s">
        <v>662</v>
      </c>
      <c r="K429" s="1">
        <f>VLOOKUP(الصنف[[#This Row],[وحده القياس]],$S$4:$T$67,2,TRUE)</f>
        <v>60</v>
      </c>
      <c r="L429" s="1" t="s">
        <v>686</v>
      </c>
      <c r="M429" s="1">
        <v>1000</v>
      </c>
      <c r="N429" s="6" t="s">
        <v>678</v>
      </c>
      <c r="O429" s="7"/>
      <c r="P429" s="9">
        <f>IF(الصنف[[#This Row],[وحده المكونات]]="جرام",1,0)</f>
        <v>1</v>
      </c>
    </row>
    <row r="430" spans="2:16" ht="20.100000000000001" customHeight="1" x14ac:dyDescent="0.2">
      <c r="B430" s="4">
        <v>428</v>
      </c>
      <c r="C430" s="4">
        <v>3402015</v>
      </c>
      <c r="D430" s="2" t="s">
        <v>324</v>
      </c>
      <c r="E430" s="2" t="s">
        <v>324</v>
      </c>
      <c r="G430" s="1" t="str">
        <f>LEFT(الصنف[[#This Row],[تصنيف فرعي (2)]],4)</f>
        <v>3402</v>
      </c>
      <c r="H430" s="5" t="s">
        <v>1031</v>
      </c>
      <c r="I430" s="5" t="str">
        <f>LEFT(الصنف[[#This Row],[تصنيف فرعي (1)]],2)</f>
        <v>34</v>
      </c>
      <c r="J430" s="1" t="s">
        <v>662</v>
      </c>
      <c r="K430" s="1">
        <f>VLOOKUP(الصنف[[#This Row],[وحده القياس]],$S$4:$T$67,2,TRUE)</f>
        <v>15</v>
      </c>
      <c r="L430" s="1" t="s">
        <v>776</v>
      </c>
      <c r="M430" s="1">
        <v>1000</v>
      </c>
      <c r="N430" s="6" t="s">
        <v>743</v>
      </c>
      <c r="O430" s="7"/>
      <c r="P430" s="9">
        <f>IF(الصنف[[#This Row],[وحده المكونات]]="جرام",1,0)</f>
        <v>0</v>
      </c>
    </row>
    <row r="431" spans="2:16" ht="20.100000000000001" customHeight="1" x14ac:dyDescent="0.2">
      <c r="B431" s="4">
        <v>429</v>
      </c>
      <c r="C431" s="4">
        <v>3402016</v>
      </c>
      <c r="D431" s="2" t="s">
        <v>106</v>
      </c>
      <c r="E431" s="2" t="s">
        <v>106</v>
      </c>
      <c r="G431" s="1" t="str">
        <f>LEFT(الصنف[[#This Row],[تصنيف فرعي (2)]],4)</f>
        <v>3402</v>
      </c>
      <c r="H431" s="5" t="s">
        <v>1031</v>
      </c>
      <c r="I431" s="5" t="str">
        <f>LEFT(الصنف[[#This Row],[تصنيف فرعي (1)]],2)</f>
        <v>34</v>
      </c>
      <c r="J431" s="1" t="s">
        <v>662</v>
      </c>
      <c r="K431" s="1">
        <f>VLOOKUP(الصنف[[#This Row],[وحده القياس]],$S$4:$T$67,2,TRUE)</f>
        <v>61</v>
      </c>
      <c r="L431" s="1" t="s">
        <v>750</v>
      </c>
      <c r="M431" s="1">
        <v>1000</v>
      </c>
      <c r="N431" s="6" t="s">
        <v>743</v>
      </c>
      <c r="O431" s="7"/>
      <c r="P431" s="9">
        <f>IF(الصنف[[#This Row],[وحده المكونات]]="جرام",1,0)</f>
        <v>0</v>
      </c>
    </row>
    <row r="432" spans="2:16" ht="20.100000000000001" customHeight="1" x14ac:dyDescent="0.2">
      <c r="B432" s="4">
        <v>430</v>
      </c>
      <c r="C432" s="4">
        <v>3402017</v>
      </c>
      <c r="D432" s="2" t="s">
        <v>109</v>
      </c>
      <c r="E432" s="2" t="s">
        <v>109</v>
      </c>
      <c r="G432" s="1" t="str">
        <f>LEFT(الصنف[[#This Row],[تصنيف فرعي (2)]],4)</f>
        <v>3402</v>
      </c>
      <c r="H432" s="5" t="s">
        <v>1031</v>
      </c>
      <c r="I432" s="5" t="str">
        <f>LEFT(الصنف[[#This Row],[تصنيف فرعي (1)]],2)</f>
        <v>34</v>
      </c>
      <c r="J432" s="1" t="s">
        <v>662</v>
      </c>
      <c r="K432" s="1">
        <f>VLOOKUP(الصنف[[#This Row],[وحده القياس]],$S$4:$T$67,2,TRUE)</f>
        <v>14</v>
      </c>
      <c r="L432" s="1" t="s">
        <v>381</v>
      </c>
      <c r="M432" s="1">
        <v>1</v>
      </c>
      <c r="N432" s="6" t="s">
        <v>381</v>
      </c>
      <c r="O432" s="7"/>
      <c r="P432" s="9">
        <f>IF(الصنف[[#This Row],[وحده المكونات]]="جرام",1,0)</f>
        <v>0</v>
      </c>
    </row>
    <row r="433" spans="2:16" ht="20.100000000000001" customHeight="1" x14ac:dyDescent="0.2">
      <c r="B433" s="4">
        <v>431</v>
      </c>
      <c r="C433" s="4">
        <v>3402018</v>
      </c>
      <c r="D433" s="2" t="s">
        <v>107</v>
      </c>
      <c r="E433" s="2" t="s">
        <v>107</v>
      </c>
      <c r="G433" s="1" t="str">
        <f>LEFT(الصنف[[#This Row],[تصنيف فرعي (2)]],4)</f>
        <v>3402</v>
      </c>
      <c r="H433" s="5" t="s">
        <v>1031</v>
      </c>
      <c r="I433" s="5" t="str">
        <f>LEFT(الصنف[[#This Row],[تصنيف فرعي (1)]],2)</f>
        <v>34</v>
      </c>
      <c r="J433" s="1" t="s">
        <v>662</v>
      </c>
      <c r="K433" s="1">
        <f>VLOOKUP(الصنف[[#This Row],[وحده القياس]],$S$4:$T$67,2,TRUE)</f>
        <v>61</v>
      </c>
      <c r="L433" s="1" t="s">
        <v>750</v>
      </c>
      <c r="M433" s="1">
        <v>1000</v>
      </c>
      <c r="N433" s="6" t="s">
        <v>743</v>
      </c>
      <c r="O433" s="7"/>
      <c r="P433" s="9">
        <f>IF(الصنف[[#This Row],[وحده المكونات]]="جرام",1,0)</f>
        <v>0</v>
      </c>
    </row>
    <row r="434" spans="2:16" ht="20.100000000000001" customHeight="1" x14ac:dyDescent="0.2">
      <c r="B434" s="4">
        <v>432</v>
      </c>
      <c r="C434" s="4">
        <v>3402019</v>
      </c>
      <c r="D434" s="2" t="s">
        <v>122</v>
      </c>
      <c r="E434" s="2" t="s">
        <v>122</v>
      </c>
      <c r="G434" s="1" t="str">
        <f>LEFT(الصنف[[#This Row],[تصنيف فرعي (2)]],4)</f>
        <v>3402</v>
      </c>
      <c r="H434" s="5" t="s">
        <v>1031</v>
      </c>
      <c r="I434" s="5" t="str">
        <f>LEFT(الصنف[[#This Row],[تصنيف فرعي (1)]],2)</f>
        <v>34</v>
      </c>
      <c r="J434" s="1" t="s">
        <v>662</v>
      </c>
      <c r="K434" s="1">
        <f>VLOOKUP(الصنف[[#This Row],[وحده القياس]],$S$4:$T$67,2,TRUE)</f>
        <v>61</v>
      </c>
      <c r="L434" s="1" t="s">
        <v>750</v>
      </c>
      <c r="M434" s="1">
        <v>1000</v>
      </c>
      <c r="N434" s="6" t="s">
        <v>743</v>
      </c>
      <c r="O434" s="7"/>
      <c r="P434" s="9">
        <f>IF(الصنف[[#This Row],[وحده المكونات]]="جرام",1,0)</f>
        <v>0</v>
      </c>
    </row>
    <row r="435" spans="2:16" ht="20.100000000000001" customHeight="1" x14ac:dyDescent="0.2">
      <c r="B435" s="4">
        <v>433</v>
      </c>
      <c r="C435" s="4">
        <v>3402020</v>
      </c>
      <c r="D435" s="2" t="s">
        <v>525</v>
      </c>
      <c r="E435" s="2" t="s">
        <v>525</v>
      </c>
      <c r="G435" s="1" t="str">
        <f>LEFT(الصنف[[#This Row],[تصنيف فرعي (2)]],4)</f>
        <v>3402</v>
      </c>
      <c r="H435" s="5" t="s">
        <v>1031</v>
      </c>
      <c r="I435" s="5" t="str">
        <f>LEFT(الصنف[[#This Row],[تصنيف فرعي (1)]],2)</f>
        <v>34</v>
      </c>
      <c r="J435" s="1" t="s">
        <v>662</v>
      </c>
      <c r="K435" s="1">
        <f>VLOOKUP(الصنف[[#This Row],[وحده القياس]],$S$4:$T$67,2,TRUE)</f>
        <v>33</v>
      </c>
      <c r="L435" s="1" t="s">
        <v>382</v>
      </c>
      <c r="M435" s="1">
        <v>1</v>
      </c>
      <c r="N435" s="6" t="s">
        <v>382</v>
      </c>
      <c r="O435" s="7"/>
      <c r="P435" s="9">
        <f>IF(الصنف[[#This Row],[وحده المكونات]]="جرام",1,0)</f>
        <v>0</v>
      </c>
    </row>
    <row r="436" spans="2:16" ht="20.100000000000001" customHeight="1" x14ac:dyDescent="0.2">
      <c r="B436" s="4">
        <v>434</v>
      </c>
      <c r="C436" s="4">
        <v>3402021</v>
      </c>
      <c r="D436" s="2" t="s">
        <v>110</v>
      </c>
      <c r="E436" s="2" t="s">
        <v>110</v>
      </c>
      <c r="G436" s="1" t="str">
        <f>LEFT(الصنف[[#This Row],[تصنيف فرعي (2)]],4)</f>
        <v>3402</v>
      </c>
      <c r="H436" s="5" t="s">
        <v>1031</v>
      </c>
      <c r="I436" s="5" t="str">
        <f>LEFT(الصنف[[#This Row],[تصنيف فرعي (1)]],2)</f>
        <v>34</v>
      </c>
      <c r="J436" s="1" t="s">
        <v>662</v>
      </c>
      <c r="K436" s="1">
        <f>VLOOKUP(الصنف[[#This Row],[وحده القياس]],$S$4:$T$67,2,TRUE)</f>
        <v>14</v>
      </c>
      <c r="L436" s="1" t="s">
        <v>381</v>
      </c>
      <c r="M436" s="1">
        <v>1</v>
      </c>
      <c r="N436" s="6" t="s">
        <v>381</v>
      </c>
      <c r="O436" s="7"/>
      <c r="P436" s="9">
        <f>IF(الصنف[[#This Row],[وحده المكونات]]="جرام",1,0)</f>
        <v>0</v>
      </c>
    </row>
    <row r="437" spans="2:16" ht="20.100000000000001" customHeight="1" x14ac:dyDescent="0.2">
      <c r="B437" s="4">
        <v>435</v>
      </c>
      <c r="C437" s="4">
        <v>3402022</v>
      </c>
      <c r="D437" s="2" t="s">
        <v>108</v>
      </c>
      <c r="E437" s="2" t="s">
        <v>108</v>
      </c>
      <c r="G437" s="1" t="str">
        <f>LEFT(الصنف[[#This Row],[تصنيف فرعي (2)]],4)</f>
        <v>3402</v>
      </c>
      <c r="H437" s="5" t="s">
        <v>1031</v>
      </c>
      <c r="I437" s="5" t="str">
        <f>LEFT(الصنف[[#This Row],[تصنيف فرعي (1)]],2)</f>
        <v>34</v>
      </c>
      <c r="J437" s="1" t="s">
        <v>662</v>
      </c>
      <c r="K437" s="1">
        <f>VLOOKUP(الصنف[[#This Row],[وحده القياس]],$S$4:$T$67,2,TRUE)</f>
        <v>61</v>
      </c>
      <c r="L437" s="1" t="s">
        <v>750</v>
      </c>
      <c r="M437" s="1">
        <v>1000</v>
      </c>
      <c r="N437" s="6" t="s">
        <v>743</v>
      </c>
      <c r="O437" s="7"/>
      <c r="P437" s="9">
        <f>IF(الصنف[[#This Row],[وحده المكونات]]="جرام",1,0)</f>
        <v>0</v>
      </c>
    </row>
    <row r="438" spans="2:16" ht="20.100000000000001" customHeight="1" x14ac:dyDescent="0.2">
      <c r="B438" s="4">
        <v>436</v>
      </c>
      <c r="C438" s="4">
        <v>3402023</v>
      </c>
      <c r="D438" s="2" t="s">
        <v>195</v>
      </c>
      <c r="E438" s="2" t="s">
        <v>195</v>
      </c>
      <c r="G438" s="1" t="str">
        <f>LEFT(الصنف[[#This Row],[تصنيف فرعي (2)]],4)</f>
        <v>3402</v>
      </c>
      <c r="H438" s="5" t="s">
        <v>1031</v>
      </c>
      <c r="I438" s="5" t="str">
        <f>LEFT(الصنف[[#This Row],[تصنيف فرعي (1)]],2)</f>
        <v>34</v>
      </c>
      <c r="J438" s="1" t="s">
        <v>662</v>
      </c>
      <c r="K438" s="1">
        <f>VLOOKUP(الصنف[[#This Row],[وحده القياس]],$S$4:$T$67,2,TRUE)</f>
        <v>33</v>
      </c>
      <c r="L438" s="1" t="s">
        <v>382</v>
      </c>
      <c r="M438" s="1">
        <v>1</v>
      </c>
      <c r="N438" s="6" t="s">
        <v>382</v>
      </c>
      <c r="O438" s="7"/>
      <c r="P438" s="9">
        <f>IF(الصنف[[#This Row],[وحده المكونات]]="جرام",1,0)</f>
        <v>0</v>
      </c>
    </row>
    <row r="439" spans="2:16" ht="20.100000000000001" customHeight="1" x14ac:dyDescent="0.2">
      <c r="B439" s="4">
        <v>437</v>
      </c>
      <c r="C439" s="4">
        <v>3402024</v>
      </c>
      <c r="D439" s="2" t="s">
        <v>129</v>
      </c>
      <c r="E439" s="2" t="s">
        <v>129</v>
      </c>
      <c r="G439" s="1" t="str">
        <f>LEFT(الصنف[[#This Row],[تصنيف فرعي (2)]],4)</f>
        <v>3402</v>
      </c>
      <c r="H439" s="5" t="s">
        <v>1031</v>
      </c>
      <c r="I439" s="5" t="str">
        <f>LEFT(الصنف[[#This Row],[تصنيف فرعي (1)]],2)</f>
        <v>34</v>
      </c>
      <c r="J439" s="1" t="s">
        <v>662</v>
      </c>
      <c r="K439" s="1">
        <f>VLOOKUP(الصنف[[#This Row],[وحده القياس]],$S$4:$T$67,2,TRUE)</f>
        <v>43</v>
      </c>
      <c r="L439" s="1" t="s">
        <v>742</v>
      </c>
      <c r="M439" s="1">
        <v>1</v>
      </c>
      <c r="N439" s="6" t="s">
        <v>742</v>
      </c>
      <c r="O439" s="7"/>
      <c r="P439" s="9">
        <f>IF(الصنف[[#This Row],[وحده المكونات]]="جرام",1,0)</f>
        <v>0</v>
      </c>
    </row>
    <row r="440" spans="2:16" ht="20.100000000000001" customHeight="1" x14ac:dyDescent="0.2">
      <c r="B440" s="4">
        <v>438</v>
      </c>
      <c r="C440" s="4">
        <v>3402025</v>
      </c>
      <c r="D440" s="2" t="s">
        <v>120</v>
      </c>
      <c r="E440" s="2" t="s">
        <v>120</v>
      </c>
      <c r="G440" s="1" t="str">
        <f>LEFT(الصنف[[#This Row],[تصنيف فرعي (2)]],4)</f>
        <v>3402</v>
      </c>
      <c r="H440" s="5" t="s">
        <v>1031</v>
      </c>
      <c r="I440" s="5" t="str">
        <f>LEFT(الصنف[[#This Row],[تصنيف فرعي (1)]],2)</f>
        <v>34</v>
      </c>
      <c r="J440" s="1" t="s">
        <v>662</v>
      </c>
      <c r="K440" s="1">
        <f>VLOOKUP(الصنف[[#This Row],[وحده القياس]],$S$4:$T$67,2,TRUE)</f>
        <v>10</v>
      </c>
      <c r="L440" s="1" t="s">
        <v>385</v>
      </c>
      <c r="M440" s="1">
        <v>1</v>
      </c>
      <c r="N440" s="6" t="s">
        <v>385</v>
      </c>
      <c r="O440" s="7"/>
      <c r="P440" s="9">
        <f>IF(الصنف[[#This Row],[وحده المكونات]]="جرام",1,0)</f>
        <v>0</v>
      </c>
    </row>
    <row r="441" spans="2:16" ht="20.100000000000001" customHeight="1" x14ac:dyDescent="0.2">
      <c r="B441" s="4">
        <v>439</v>
      </c>
      <c r="C441" s="4">
        <v>3402026</v>
      </c>
      <c r="D441" s="2" t="s">
        <v>105</v>
      </c>
      <c r="E441" s="2" t="s">
        <v>105</v>
      </c>
      <c r="G441" s="1" t="str">
        <f>LEFT(الصنف[[#This Row],[تصنيف فرعي (2)]],4)</f>
        <v>3402</v>
      </c>
      <c r="H441" s="5" t="s">
        <v>1031</v>
      </c>
      <c r="I441" s="5" t="str">
        <f>LEFT(الصنف[[#This Row],[تصنيف فرعي (1)]],2)</f>
        <v>34</v>
      </c>
      <c r="J441" s="1" t="s">
        <v>662</v>
      </c>
      <c r="K441" s="1">
        <f>VLOOKUP(الصنف[[#This Row],[وحده القياس]],$S$4:$T$67,2,TRUE)</f>
        <v>49</v>
      </c>
      <c r="L441" s="1" t="s">
        <v>383</v>
      </c>
      <c r="M441" s="1">
        <v>1</v>
      </c>
      <c r="N441" s="6" t="s">
        <v>383</v>
      </c>
      <c r="O441" s="7"/>
      <c r="P441" s="9">
        <f>IF(الصنف[[#This Row],[وحده المكونات]]="جرام",1,0)</f>
        <v>0</v>
      </c>
    </row>
    <row r="442" spans="2:16" ht="20.100000000000001" customHeight="1" x14ac:dyDescent="0.2">
      <c r="B442" s="4">
        <v>440</v>
      </c>
      <c r="C442" s="4">
        <v>3403001</v>
      </c>
      <c r="D442" s="2" t="s">
        <v>627</v>
      </c>
      <c r="E442" s="2" t="s">
        <v>627</v>
      </c>
      <c r="G442" s="1" t="str">
        <f>LEFT(الصنف[[#This Row],[تصنيف فرعي (2)]],4)</f>
        <v>3403</v>
      </c>
      <c r="H442" s="5" t="s">
        <v>1030</v>
      </c>
      <c r="I442" s="5" t="str">
        <f>LEFT(الصنف[[#This Row],[تصنيف فرعي (1)]],2)</f>
        <v>34</v>
      </c>
      <c r="J442" s="1" t="s">
        <v>662</v>
      </c>
      <c r="K442" s="1">
        <f>VLOOKUP(الصنف[[#This Row],[وحده القياس]],$S$4:$T$67,2,TRUE)</f>
        <v>43</v>
      </c>
      <c r="L442" s="1" t="s">
        <v>742</v>
      </c>
      <c r="M442" s="1">
        <v>1</v>
      </c>
      <c r="N442" s="6" t="s">
        <v>742</v>
      </c>
      <c r="O442" s="7"/>
      <c r="P442" s="9">
        <f>IF(الصنف[[#This Row],[وحده المكونات]]="جرام",1,0)</f>
        <v>0</v>
      </c>
    </row>
    <row r="443" spans="2:16" ht="20.100000000000001" customHeight="1" x14ac:dyDescent="0.2">
      <c r="B443" s="4">
        <v>441</v>
      </c>
      <c r="C443" s="4">
        <v>3403002</v>
      </c>
      <c r="D443" s="2" t="s">
        <v>767</v>
      </c>
      <c r="E443" s="2" t="s">
        <v>767</v>
      </c>
      <c r="G443" s="1" t="str">
        <f>LEFT(الصنف[[#This Row],[تصنيف فرعي (2)]],4)</f>
        <v>3403</v>
      </c>
      <c r="H443" s="5" t="s">
        <v>1030</v>
      </c>
      <c r="I443" s="5" t="str">
        <f>LEFT(الصنف[[#This Row],[تصنيف فرعي (1)]],2)</f>
        <v>34</v>
      </c>
      <c r="J443" s="1" t="s">
        <v>662</v>
      </c>
      <c r="K443" s="1">
        <f>VLOOKUP(الصنف[[#This Row],[وحده القياس]],$S$4:$T$67,2,TRUE)</f>
        <v>33</v>
      </c>
      <c r="L443" s="1" t="s">
        <v>382</v>
      </c>
      <c r="M443" s="1">
        <v>1</v>
      </c>
      <c r="N443" s="6" t="s">
        <v>382</v>
      </c>
      <c r="O443" s="7"/>
      <c r="P443" s="9">
        <f>IF(الصنف[[#This Row],[وحده المكونات]]="جرام",1,0)</f>
        <v>0</v>
      </c>
    </row>
    <row r="444" spans="2:16" ht="20.100000000000001" customHeight="1" x14ac:dyDescent="0.2">
      <c r="B444" s="4">
        <v>442</v>
      </c>
      <c r="C444" s="4">
        <v>3403003</v>
      </c>
      <c r="D444" s="2" t="s">
        <v>749</v>
      </c>
      <c r="E444" s="2" t="s">
        <v>749</v>
      </c>
      <c r="G444" s="1" t="str">
        <f>LEFT(الصنف[[#This Row],[تصنيف فرعي (2)]],4)</f>
        <v>3403</v>
      </c>
      <c r="H444" s="5" t="s">
        <v>1030</v>
      </c>
      <c r="I444" s="5" t="str">
        <f>LEFT(الصنف[[#This Row],[تصنيف فرعي (1)]],2)</f>
        <v>34</v>
      </c>
      <c r="J444" s="1" t="s">
        <v>662</v>
      </c>
      <c r="K444" s="1">
        <f>VLOOKUP(الصنف[[#This Row],[وحده القياس]],$S$4:$T$67,2,TRUE)</f>
        <v>43</v>
      </c>
      <c r="L444" s="1" t="s">
        <v>742</v>
      </c>
      <c r="M444" s="1">
        <v>1</v>
      </c>
      <c r="N444" s="6" t="s">
        <v>742</v>
      </c>
      <c r="O444" s="7"/>
      <c r="P444" s="9">
        <f>IF(الصنف[[#This Row],[وحده المكونات]]="جرام",1,0)</f>
        <v>0</v>
      </c>
    </row>
    <row r="445" spans="2:16" ht="20.100000000000001" customHeight="1" x14ac:dyDescent="0.2">
      <c r="B445" s="4">
        <v>443</v>
      </c>
      <c r="C445" s="4">
        <v>3403004</v>
      </c>
      <c r="D445" s="2" t="s">
        <v>777</v>
      </c>
      <c r="E445" s="2" t="s">
        <v>568</v>
      </c>
      <c r="G445" s="1" t="str">
        <f>LEFT(الصنف[[#This Row],[تصنيف فرعي (2)]],4)</f>
        <v>3403</v>
      </c>
      <c r="H445" s="5" t="s">
        <v>1030</v>
      </c>
      <c r="I445" s="5" t="str">
        <f>LEFT(الصنف[[#This Row],[تصنيف فرعي (1)]],2)</f>
        <v>34</v>
      </c>
      <c r="J445" s="1" t="s">
        <v>662</v>
      </c>
      <c r="K445" s="1">
        <f>VLOOKUP(الصنف[[#This Row],[وحده القياس]],$S$4:$T$67,2,TRUE)</f>
        <v>49</v>
      </c>
      <c r="L445" s="1" t="s">
        <v>383</v>
      </c>
      <c r="M445" s="1">
        <v>1</v>
      </c>
      <c r="N445" s="6" t="s">
        <v>383</v>
      </c>
      <c r="O445" s="7"/>
      <c r="P445" s="9">
        <f>IF(الصنف[[#This Row],[وحده المكونات]]="جرام",1,0)</f>
        <v>0</v>
      </c>
    </row>
    <row r="446" spans="2:16" ht="20.100000000000001" customHeight="1" x14ac:dyDescent="0.2">
      <c r="B446" s="4">
        <v>444</v>
      </c>
      <c r="C446" s="4">
        <v>3403005</v>
      </c>
      <c r="D446" s="2" t="s">
        <v>628</v>
      </c>
      <c r="E446" s="2" t="s">
        <v>628</v>
      </c>
      <c r="G446" s="1" t="str">
        <f>LEFT(الصنف[[#This Row],[تصنيف فرعي (2)]],4)</f>
        <v>3403</v>
      </c>
      <c r="H446" s="5" t="s">
        <v>1030</v>
      </c>
      <c r="I446" s="5" t="str">
        <f>LEFT(الصنف[[#This Row],[تصنيف فرعي (1)]],2)</f>
        <v>34</v>
      </c>
      <c r="J446" s="1" t="s">
        <v>662</v>
      </c>
      <c r="K446" s="1">
        <f>VLOOKUP(الصنف[[#This Row],[وحده القياس]],$S$4:$T$67,2,TRUE)</f>
        <v>49</v>
      </c>
      <c r="L446" s="1" t="s">
        <v>383</v>
      </c>
      <c r="M446" s="1">
        <v>1</v>
      </c>
      <c r="N446" s="6" t="s">
        <v>383</v>
      </c>
      <c r="O446" s="7"/>
      <c r="P446" s="9">
        <f>IF(الصنف[[#This Row],[وحده المكونات]]="جرام",1,0)</f>
        <v>0</v>
      </c>
    </row>
    <row r="447" spans="2:16" ht="20.100000000000001" customHeight="1" x14ac:dyDescent="0.2">
      <c r="B447" s="4">
        <v>445</v>
      </c>
      <c r="C447" s="4">
        <v>3501001</v>
      </c>
      <c r="D447" s="2" t="s">
        <v>751</v>
      </c>
      <c r="E447" s="2" t="s">
        <v>751</v>
      </c>
      <c r="G447" s="1" t="str">
        <f>LEFT(الصنف[[#This Row],[تصنيف فرعي (2)]],4)</f>
        <v>3501</v>
      </c>
      <c r="H447" s="5" t="s">
        <v>1032</v>
      </c>
      <c r="I447" s="5" t="str">
        <f>LEFT(الصنف[[#This Row],[تصنيف فرعي (1)]],2)</f>
        <v>35</v>
      </c>
      <c r="J447" s="1" t="s">
        <v>901</v>
      </c>
      <c r="K447" s="1">
        <f>VLOOKUP(الصنف[[#This Row],[وحده القياس]],$S$4:$T$67,2,TRUE)</f>
        <v>43</v>
      </c>
      <c r="L447" s="1" t="s">
        <v>742</v>
      </c>
      <c r="M447" s="1">
        <v>1</v>
      </c>
      <c r="N447" s="6" t="s">
        <v>742</v>
      </c>
      <c r="O447" s="7"/>
      <c r="P447" s="9">
        <f>IF(الصنف[[#This Row],[وحده المكونات]]="جرام",1,0)</f>
        <v>0</v>
      </c>
    </row>
    <row r="448" spans="2:16" ht="20.100000000000001" customHeight="1" x14ac:dyDescent="0.2">
      <c r="B448" s="4">
        <v>446</v>
      </c>
      <c r="C448" s="4">
        <v>3501002</v>
      </c>
      <c r="D448" s="2" t="s">
        <v>775</v>
      </c>
      <c r="E448" s="2" t="s">
        <v>719</v>
      </c>
      <c r="G448" s="1" t="str">
        <f>LEFT(الصنف[[#This Row],[تصنيف فرعي (2)]],4)</f>
        <v>3501</v>
      </c>
      <c r="H448" s="5" t="s">
        <v>1032</v>
      </c>
      <c r="I448" s="5" t="str">
        <f>LEFT(الصنف[[#This Row],[تصنيف فرعي (1)]],2)</f>
        <v>35</v>
      </c>
      <c r="J448" s="1" t="s">
        <v>901</v>
      </c>
      <c r="K448" s="1">
        <f>VLOOKUP(الصنف[[#This Row],[وحده القياس]],$S$4:$T$67,2,TRUE)</f>
        <v>43</v>
      </c>
      <c r="L448" s="1" t="s">
        <v>742</v>
      </c>
      <c r="M448" s="1">
        <v>1</v>
      </c>
      <c r="N448" s="6" t="s">
        <v>742</v>
      </c>
      <c r="O448" s="7"/>
      <c r="P448" s="9">
        <f>IF(الصنف[[#This Row],[وحده المكونات]]="جرام",1,0)</f>
        <v>0</v>
      </c>
    </row>
    <row r="449" spans="2:16" ht="20.100000000000001" customHeight="1" x14ac:dyDescent="0.2">
      <c r="B449" s="4">
        <v>447</v>
      </c>
      <c r="C449" s="4">
        <v>3501003</v>
      </c>
      <c r="D449" s="2" t="s">
        <v>453</v>
      </c>
      <c r="E449" s="2" t="s">
        <v>453</v>
      </c>
      <c r="G449" s="1" t="str">
        <f>LEFT(الصنف[[#This Row],[تصنيف فرعي (2)]],4)</f>
        <v>3501</v>
      </c>
      <c r="H449" s="5" t="s">
        <v>1032</v>
      </c>
      <c r="I449" s="5" t="str">
        <f>LEFT(الصنف[[#This Row],[تصنيف فرعي (1)]],2)</f>
        <v>35</v>
      </c>
      <c r="J449" s="1" t="s">
        <v>901</v>
      </c>
      <c r="K449" s="1">
        <f>VLOOKUP(الصنف[[#This Row],[وحده القياس]],$S$4:$T$67,2,TRUE)</f>
        <v>43</v>
      </c>
      <c r="L449" s="1" t="s">
        <v>742</v>
      </c>
      <c r="M449" s="1">
        <v>1</v>
      </c>
      <c r="N449" s="6" t="s">
        <v>742</v>
      </c>
      <c r="O449" s="7"/>
      <c r="P449" s="9">
        <f>IF(الصنف[[#This Row],[وحده المكونات]]="جرام",1,0)</f>
        <v>0</v>
      </c>
    </row>
    <row r="450" spans="2:16" ht="20.100000000000001" customHeight="1" x14ac:dyDescent="0.2">
      <c r="B450" s="4">
        <v>448</v>
      </c>
      <c r="C450" s="4">
        <v>3501004</v>
      </c>
      <c r="D450" s="2" t="s">
        <v>465</v>
      </c>
      <c r="E450" s="2" t="s">
        <v>465</v>
      </c>
      <c r="G450" s="1" t="str">
        <f>LEFT(الصنف[[#This Row],[تصنيف فرعي (2)]],4)</f>
        <v>3501</v>
      </c>
      <c r="H450" s="5" t="s">
        <v>1032</v>
      </c>
      <c r="I450" s="5" t="str">
        <f>LEFT(الصنف[[#This Row],[تصنيف فرعي (1)]],2)</f>
        <v>35</v>
      </c>
      <c r="J450" s="1" t="s">
        <v>901</v>
      </c>
      <c r="K450" s="1">
        <f>VLOOKUP(الصنف[[#This Row],[وحده القياس]],$S$4:$T$67,2,TRUE)</f>
        <v>43</v>
      </c>
      <c r="L450" s="1" t="s">
        <v>742</v>
      </c>
      <c r="M450" s="1">
        <v>1</v>
      </c>
      <c r="N450" s="6" t="s">
        <v>742</v>
      </c>
      <c r="O450" s="7"/>
      <c r="P450" s="9">
        <f>IF(الصنف[[#This Row],[وحده المكونات]]="جرام",1,0)</f>
        <v>0</v>
      </c>
    </row>
    <row r="451" spans="2:16" ht="20.100000000000001" customHeight="1" x14ac:dyDescent="0.2">
      <c r="B451" s="4">
        <v>449</v>
      </c>
      <c r="C451" s="4">
        <v>3501005</v>
      </c>
      <c r="D451" s="2" t="s">
        <v>559</v>
      </c>
      <c r="E451" s="2" t="s">
        <v>559</v>
      </c>
      <c r="G451" s="1" t="str">
        <f>LEFT(الصنف[[#This Row],[تصنيف فرعي (2)]],4)</f>
        <v>3501</v>
      </c>
      <c r="H451" s="5" t="s">
        <v>1032</v>
      </c>
      <c r="I451" s="5" t="str">
        <f>LEFT(الصنف[[#This Row],[تصنيف فرعي (1)]],2)</f>
        <v>35</v>
      </c>
      <c r="J451" s="1" t="s">
        <v>901</v>
      </c>
      <c r="K451" s="1">
        <f>VLOOKUP(الصنف[[#This Row],[وحده القياس]],$S$4:$T$67,2,TRUE)</f>
        <v>43</v>
      </c>
      <c r="L451" s="1" t="s">
        <v>742</v>
      </c>
      <c r="M451" s="1">
        <v>1</v>
      </c>
      <c r="N451" s="6" t="s">
        <v>742</v>
      </c>
      <c r="O451" s="7"/>
      <c r="P451" s="9">
        <f>IF(الصنف[[#This Row],[وحده المكونات]]="جرام",1,0)</f>
        <v>0</v>
      </c>
    </row>
    <row r="452" spans="2:16" ht="20.100000000000001" customHeight="1" x14ac:dyDescent="0.2">
      <c r="B452" s="4">
        <v>450</v>
      </c>
      <c r="C452" s="4">
        <v>3501006</v>
      </c>
      <c r="D452" s="2" t="s">
        <v>457</v>
      </c>
      <c r="E452" s="2" t="s">
        <v>457</v>
      </c>
      <c r="G452" s="1" t="str">
        <f>LEFT(الصنف[[#This Row],[تصنيف فرعي (2)]],4)</f>
        <v>3501</v>
      </c>
      <c r="H452" s="5" t="s">
        <v>1032</v>
      </c>
      <c r="I452" s="5" t="str">
        <f>LEFT(الصنف[[#This Row],[تصنيف فرعي (1)]],2)</f>
        <v>35</v>
      </c>
      <c r="J452" s="1" t="s">
        <v>901</v>
      </c>
      <c r="K452" s="1">
        <f>VLOOKUP(الصنف[[#This Row],[وحده القياس]],$S$4:$T$67,2,TRUE)</f>
        <v>43</v>
      </c>
      <c r="L452" s="1" t="s">
        <v>742</v>
      </c>
      <c r="M452" s="1">
        <v>1</v>
      </c>
      <c r="N452" s="6" t="s">
        <v>742</v>
      </c>
      <c r="O452" s="7"/>
      <c r="P452" s="9">
        <f>IF(الصنف[[#This Row],[وحده المكونات]]="جرام",1,0)</f>
        <v>0</v>
      </c>
    </row>
    <row r="453" spans="2:16" ht="20.100000000000001" customHeight="1" x14ac:dyDescent="0.2">
      <c r="B453" s="4">
        <v>451</v>
      </c>
      <c r="C453" s="4">
        <v>3501007</v>
      </c>
      <c r="D453" s="2" t="s">
        <v>458</v>
      </c>
      <c r="E453" s="2" t="s">
        <v>458</v>
      </c>
      <c r="G453" s="1" t="str">
        <f>LEFT(الصنف[[#This Row],[تصنيف فرعي (2)]],4)</f>
        <v>3501</v>
      </c>
      <c r="H453" s="5" t="s">
        <v>1032</v>
      </c>
      <c r="I453" s="5" t="str">
        <f>LEFT(الصنف[[#This Row],[تصنيف فرعي (1)]],2)</f>
        <v>35</v>
      </c>
      <c r="J453" s="1" t="s">
        <v>901</v>
      </c>
      <c r="K453" s="1">
        <f>VLOOKUP(الصنف[[#This Row],[وحده القياس]],$S$4:$T$67,2,TRUE)</f>
        <v>43</v>
      </c>
      <c r="L453" s="1" t="s">
        <v>742</v>
      </c>
      <c r="M453" s="1">
        <v>1</v>
      </c>
      <c r="N453" s="6" t="s">
        <v>742</v>
      </c>
      <c r="O453" s="7"/>
      <c r="P453" s="9">
        <f>IF(الصنف[[#This Row],[وحده المكونات]]="جرام",1,0)</f>
        <v>0</v>
      </c>
    </row>
    <row r="454" spans="2:16" ht="20.100000000000001" customHeight="1" x14ac:dyDescent="0.2">
      <c r="B454" s="4">
        <v>452</v>
      </c>
      <c r="C454" s="4">
        <v>3501008</v>
      </c>
      <c r="D454" s="2" t="s">
        <v>1052</v>
      </c>
      <c r="E454" s="2" t="s">
        <v>618</v>
      </c>
      <c r="G454" s="1" t="str">
        <f>LEFT(الصنف[[#This Row],[تصنيف فرعي (2)]],4)</f>
        <v>3501</v>
      </c>
      <c r="H454" s="5" t="s">
        <v>1032</v>
      </c>
      <c r="I454" s="5" t="str">
        <f>LEFT(الصنف[[#This Row],[تصنيف فرعي (1)]],2)</f>
        <v>35</v>
      </c>
      <c r="J454" s="1" t="s">
        <v>901</v>
      </c>
      <c r="K454" s="1">
        <f>VLOOKUP(الصنف[[#This Row],[وحده القياس]],$S$4:$T$67,2,TRUE)</f>
        <v>43</v>
      </c>
      <c r="L454" s="1" t="s">
        <v>742</v>
      </c>
      <c r="M454" s="1">
        <v>1</v>
      </c>
      <c r="N454" s="6" t="s">
        <v>742</v>
      </c>
      <c r="O454" s="7"/>
      <c r="P454" s="9">
        <f>IF(الصنف[[#This Row],[وحده المكونات]]="جرام",1,0)</f>
        <v>0</v>
      </c>
    </row>
    <row r="455" spans="2:16" ht="20.100000000000001" customHeight="1" x14ac:dyDescent="0.2">
      <c r="B455" s="4">
        <v>453</v>
      </c>
      <c r="C455" s="4">
        <v>3501009</v>
      </c>
      <c r="D455" s="2" t="s">
        <v>137</v>
      </c>
      <c r="E455" s="2" t="s">
        <v>137</v>
      </c>
      <c r="G455" s="1" t="str">
        <f>LEFT(الصنف[[#This Row],[تصنيف فرعي (2)]],4)</f>
        <v>3501</v>
      </c>
      <c r="H455" s="5" t="s">
        <v>1032</v>
      </c>
      <c r="I455" s="5" t="str">
        <f>LEFT(الصنف[[#This Row],[تصنيف فرعي (1)]],2)</f>
        <v>35</v>
      </c>
      <c r="J455" s="1" t="s">
        <v>901</v>
      </c>
      <c r="K455" s="1">
        <f>VLOOKUP(الصنف[[#This Row],[وحده القياس]],$S$4:$T$67,2,TRUE)</f>
        <v>43</v>
      </c>
      <c r="L455" s="1" t="s">
        <v>742</v>
      </c>
      <c r="M455" s="1">
        <v>1</v>
      </c>
      <c r="N455" s="6" t="s">
        <v>742</v>
      </c>
      <c r="O455" s="7"/>
      <c r="P455" s="9">
        <f>IF(الصنف[[#This Row],[وحده المكونات]]="جرام",1,0)</f>
        <v>0</v>
      </c>
    </row>
    <row r="456" spans="2:16" ht="20.100000000000001" customHeight="1" x14ac:dyDescent="0.2">
      <c r="B456" s="4">
        <v>454</v>
      </c>
      <c r="C456" s="4">
        <v>3501010</v>
      </c>
      <c r="D456" s="2" t="s">
        <v>207</v>
      </c>
      <c r="E456" s="2" t="s">
        <v>207</v>
      </c>
      <c r="G456" s="1" t="str">
        <f>LEFT(الصنف[[#This Row],[تصنيف فرعي (2)]],4)</f>
        <v>3501</v>
      </c>
      <c r="H456" s="5" t="s">
        <v>1032</v>
      </c>
      <c r="I456" s="5" t="str">
        <f>LEFT(الصنف[[#This Row],[تصنيف فرعي (1)]],2)</f>
        <v>35</v>
      </c>
      <c r="J456" s="1" t="s">
        <v>901</v>
      </c>
      <c r="K456" s="1">
        <f>VLOOKUP(الصنف[[#This Row],[وحده القياس]],$S$4:$T$67,2,TRUE)</f>
        <v>43</v>
      </c>
      <c r="L456" s="1" t="s">
        <v>742</v>
      </c>
      <c r="M456" s="1">
        <v>1</v>
      </c>
      <c r="N456" s="6" t="s">
        <v>742</v>
      </c>
      <c r="O456" s="7"/>
      <c r="P456" s="9">
        <f>IF(الصنف[[#This Row],[وحده المكونات]]="جرام",1,0)</f>
        <v>0</v>
      </c>
    </row>
    <row r="457" spans="2:16" ht="20.100000000000001" customHeight="1" x14ac:dyDescent="0.2">
      <c r="B457" s="4">
        <v>455</v>
      </c>
      <c r="C457" s="4">
        <v>3501011</v>
      </c>
      <c r="D457" s="2" t="s">
        <v>353</v>
      </c>
      <c r="E457" s="2" t="s">
        <v>353</v>
      </c>
      <c r="G457" s="1" t="str">
        <f>LEFT(الصنف[[#This Row],[تصنيف فرعي (2)]],4)</f>
        <v>3501</v>
      </c>
      <c r="H457" s="5" t="s">
        <v>1032</v>
      </c>
      <c r="I457" s="5" t="str">
        <f>LEFT(الصنف[[#This Row],[تصنيف فرعي (1)]],2)</f>
        <v>35</v>
      </c>
      <c r="J457" s="1" t="s">
        <v>901</v>
      </c>
      <c r="K457" s="1">
        <f>VLOOKUP(الصنف[[#This Row],[وحده القياس]],$S$4:$T$67,2,TRUE)</f>
        <v>57</v>
      </c>
      <c r="L457" s="1" t="s">
        <v>906</v>
      </c>
      <c r="M457" s="1">
        <v>50</v>
      </c>
      <c r="N457" s="6" t="s">
        <v>742</v>
      </c>
      <c r="O457" s="7"/>
      <c r="P457" s="9">
        <f>IF(الصنف[[#This Row],[وحده المكونات]]="جرام",1,0)</f>
        <v>0</v>
      </c>
    </row>
    <row r="458" spans="2:16" ht="20.100000000000001" customHeight="1" x14ac:dyDescent="0.2">
      <c r="B458" s="4">
        <v>456</v>
      </c>
      <c r="C458" s="4">
        <v>3501012</v>
      </c>
      <c r="D458" s="2" t="s">
        <v>140</v>
      </c>
      <c r="E458" s="2" t="s">
        <v>140</v>
      </c>
      <c r="G458" s="1" t="str">
        <f>LEFT(الصنف[[#This Row],[تصنيف فرعي (2)]],4)</f>
        <v>3501</v>
      </c>
      <c r="H458" s="5" t="s">
        <v>1032</v>
      </c>
      <c r="I458" s="5" t="str">
        <f>LEFT(الصنف[[#This Row],[تصنيف فرعي (1)]],2)</f>
        <v>35</v>
      </c>
      <c r="J458" s="1" t="s">
        <v>901</v>
      </c>
      <c r="K458" s="1">
        <f>VLOOKUP(الصنف[[#This Row],[وحده القياس]],$S$4:$T$67,2,TRUE)</f>
        <v>43</v>
      </c>
      <c r="L458" s="1" t="s">
        <v>742</v>
      </c>
      <c r="M458" s="1">
        <v>1</v>
      </c>
      <c r="N458" s="6" t="s">
        <v>742</v>
      </c>
      <c r="O458" s="7"/>
      <c r="P458" s="9">
        <f>IF(الصنف[[#This Row],[وحده المكونات]]="جرام",1,0)</f>
        <v>0</v>
      </c>
    </row>
    <row r="459" spans="2:16" ht="20.100000000000001" customHeight="1" x14ac:dyDescent="0.2">
      <c r="B459" s="4">
        <v>457</v>
      </c>
      <c r="C459" s="4">
        <v>3501013</v>
      </c>
      <c r="D459" s="2" t="s">
        <v>354</v>
      </c>
      <c r="E459" s="2" t="s">
        <v>354</v>
      </c>
      <c r="G459" s="1" t="str">
        <f>LEFT(الصنف[[#This Row],[تصنيف فرعي (2)]],4)</f>
        <v>3501</v>
      </c>
      <c r="H459" s="5" t="s">
        <v>1032</v>
      </c>
      <c r="I459" s="5" t="str">
        <f>LEFT(الصنف[[#This Row],[تصنيف فرعي (1)]],2)</f>
        <v>35</v>
      </c>
      <c r="J459" s="1" t="s">
        <v>901</v>
      </c>
      <c r="K459" s="1">
        <f>VLOOKUP(الصنف[[#This Row],[وحده القياس]],$S$4:$T$67,2,TRUE)</f>
        <v>57</v>
      </c>
      <c r="L459" s="1" t="s">
        <v>906</v>
      </c>
      <c r="M459" s="1">
        <v>50</v>
      </c>
      <c r="N459" s="6" t="s">
        <v>742</v>
      </c>
      <c r="O459" s="7"/>
      <c r="P459" s="9">
        <f>IF(الصنف[[#This Row],[وحده المكونات]]="جرام",1,0)</f>
        <v>0</v>
      </c>
    </row>
    <row r="460" spans="2:16" ht="20.100000000000001" customHeight="1" x14ac:dyDescent="0.2">
      <c r="B460" s="4">
        <v>458</v>
      </c>
      <c r="C460" s="4">
        <v>3501014</v>
      </c>
      <c r="D460" s="2" t="s">
        <v>208</v>
      </c>
      <c r="E460" s="2" t="s">
        <v>208</v>
      </c>
      <c r="G460" s="1" t="str">
        <f>LEFT(الصنف[[#This Row],[تصنيف فرعي (2)]],4)</f>
        <v>3501</v>
      </c>
      <c r="H460" s="5" t="s">
        <v>1032</v>
      </c>
      <c r="I460" s="5" t="str">
        <f>LEFT(الصنف[[#This Row],[تصنيف فرعي (1)]],2)</f>
        <v>35</v>
      </c>
      <c r="J460" s="1" t="s">
        <v>901</v>
      </c>
      <c r="K460" s="1">
        <f>VLOOKUP(الصنف[[#This Row],[وحده القياس]],$S$4:$T$67,2,TRUE)</f>
        <v>57</v>
      </c>
      <c r="L460" s="1" t="s">
        <v>906</v>
      </c>
      <c r="M460" s="1">
        <v>50</v>
      </c>
      <c r="N460" s="6" t="s">
        <v>742</v>
      </c>
      <c r="O460" s="7"/>
      <c r="P460" s="9">
        <f>IF(الصنف[[#This Row],[وحده المكونات]]="جرام",1,0)</f>
        <v>0</v>
      </c>
    </row>
    <row r="461" spans="2:16" ht="20.100000000000001" customHeight="1" x14ac:dyDescent="0.2">
      <c r="B461" s="4">
        <v>459</v>
      </c>
      <c r="C461" s="4">
        <v>3501015</v>
      </c>
      <c r="D461" s="2" t="s">
        <v>440</v>
      </c>
      <c r="E461" s="2" t="s">
        <v>863</v>
      </c>
      <c r="G461" s="1" t="str">
        <f>LEFT(الصنف[[#This Row],[تصنيف فرعي (2)]],4)</f>
        <v>3501</v>
      </c>
      <c r="H461" s="5" t="s">
        <v>1032</v>
      </c>
      <c r="I461" s="5" t="str">
        <f>LEFT(الصنف[[#This Row],[تصنيف فرعي (1)]],2)</f>
        <v>35</v>
      </c>
      <c r="J461" s="1" t="s">
        <v>901</v>
      </c>
      <c r="K461" s="1">
        <f>VLOOKUP(الصنف[[#This Row],[وحده القياس]],$S$4:$T$67,2,TRUE)</f>
        <v>43</v>
      </c>
      <c r="L461" s="1" t="s">
        <v>742</v>
      </c>
      <c r="M461" s="1">
        <v>1</v>
      </c>
      <c r="N461" s="6" t="s">
        <v>742</v>
      </c>
      <c r="O461" s="7"/>
      <c r="P461" s="9">
        <f>IF(الصنف[[#This Row],[وحده المكونات]]="جرام",1,0)</f>
        <v>0</v>
      </c>
    </row>
    <row r="462" spans="2:16" ht="20.100000000000001" customHeight="1" x14ac:dyDescent="0.2">
      <c r="B462" s="4">
        <v>460</v>
      </c>
      <c r="C462" s="4">
        <v>3501016</v>
      </c>
      <c r="D462" s="2" t="s">
        <v>694</v>
      </c>
      <c r="E462" s="2" t="s">
        <v>694</v>
      </c>
      <c r="G462" s="1" t="str">
        <f>LEFT(الصنف[[#This Row],[تصنيف فرعي (2)]],4)</f>
        <v>3501</v>
      </c>
      <c r="H462" s="5" t="s">
        <v>1032</v>
      </c>
      <c r="I462" s="5" t="str">
        <f>LEFT(الصنف[[#This Row],[تصنيف فرعي (1)]],2)</f>
        <v>35</v>
      </c>
      <c r="J462" s="1" t="s">
        <v>901</v>
      </c>
      <c r="K462" s="1">
        <f>VLOOKUP(الصنف[[#This Row],[وحده القياس]],$S$4:$T$67,2,TRUE)</f>
        <v>43</v>
      </c>
      <c r="L462" s="1" t="s">
        <v>742</v>
      </c>
      <c r="M462" s="1">
        <v>1</v>
      </c>
      <c r="N462" s="6" t="s">
        <v>742</v>
      </c>
      <c r="O462" s="7"/>
      <c r="P462" s="9">
        <f>IF(الصنف[[#This Row],[وحده المكونات]]="جرام",1,0)</f>
        <v>0</v>
      </c>
    </row>
    <row r="463" spans="2:16" ht="20.100000000000001" customHeight="1" x14ac:dyDescent="0.2">
      <c r="B463" s="4">
        <v>461</v>
      </c>
      <c r="C463" s="4">
        <v>3501017</v>
      </c>
      <c r="D463" s="2" t="s">
        <v>708</v>
      </c>
      <c r="E463" s="2" t="s">
        <v>708</v>
      </c>
      <c r="G463" s="1" t="str">
        <f>LEFT(الصنف[[#This Row],[تصنيف فرعي (2)]],4)</f>
        <v>3501</v>
      </c>
      <c r="H463" s="5" t="s">
        <v>1032</v>
      </c>
      <c r="I463" s="5" t="str">
        <f>LEFT(الصنف[[#This Row],[تصنيف فرعي (1)]],2)</f>
        <v>35</v>
      </c>
      <c r="J463" s="1" t="s">
        <v>901</v>
      </c>
      <c r="K463" s="1">
        <f>VLOOKUP(الصنف[[#This Row],[وحده القياس]],$S$4:$T$67,2,TRUE)</f>
        <v>43</v>
      </c>
      <c r="L463" s="1" t="s">
        <v>742</v>
      </c>
      <c r="M463" s="1">
        <v>1</v>
      </c>
      <c r="N463" s="6" t="s">
        <v>742</v>
      </c>
      <c r="O463" s="7"/>
      <c r="P463" s="9">
        <f>IF(الصنف[[#This Row],[وحده المكونات]]="جرام",1,0)</f>
        <v>0</v>
      </c>
    </row>
    <row r="464" spans="2:16" ht="20.100000000000001" customHeight="1" x14ac:dyDescent="0.2">
      <c r="B464" s="4">
        <v>462</v>
      </c>
      <c r="C464" s="4">
        <v>3501018</v>
      </c>
      <c r="D464" s="2" t="s">
        <v>695</v>
      </c>
      <c r="E464" s="2" t="s">
        <v>695</v>
      </c>
      <c r="G464" s="1" t="str">
        <f>LEFT(الصنف[[#This Row],[تصنيف فرعي (2)]],4)</f>
        <v>3501</v>
      </c>
      <c r="H464" s="5" t="s">
        <v>1032</v>
      </c>
      <c r="I464" s="5" t="str">
        <f>LEFT(الصنف[[#This Row],[تصنيف فرعي (1)]],2)</f>
        <v>35</v>
      </c>
      <c r="J464" s="1" t="s">
        <v>901</v>
      </c>
      <c r="K464" s="1">
        <f>VLOOKUP(الصنف[[#This Row],[وحده القياس]],$S$4:$T$67,2,TRUE)</f>
        <v>43</v>
      </c>
      <c r="L464" s="1" t="s">
        <v>742</v>
      </c>
      <c r="M464" s="1">
        <v>1</v>
      </c>
      <c r="N464" s="6" t="s">
        <v>742</v>
      </c>
      <c r="O464" s="7"/>
      <c r="P464" s="9">
        <f>IF(الصنف[[#This Row],[وحده المكونات]]="جرام",1,0)</f>
        <v>0</v>
      </c>
    </row>
    <row r="465" spans="2:16" ht="20.100000000000001" customHeight="1" x14ac:dyDescent="0.2">
      <c r="B465" s="4">
        <v>463</v>
      </c>
      <c r="C465" s="4">
        <v>3501019</v>
      </c>
      <c r="D465" s="2" t="s">
        <v>77</v>
      </c>
      <c r="E465" s="2" t="s">
        <v>77</v>
      </c>
      <c r="G465" s="1" t="str">
        <f>LEFT(الصنف[[#This Row],[تصنيف فرعي (2)]],4)</f>
        <v>3501</v>
      </c>
      <c r="H465" s="5" t="s">
        <v>1032</v>
      </c>
      <c r="I465" s="5" t="str">
        <f>LEFT(الصنف[[#This Row],[تصنيف فرعي (1)]],2)</f>
        <v>35</v>
      </c>
      <c r="J465" s="1" t="s">
        <v>901</v>
      </c>
      <c r="K465" s="1">
        <f>VLOOKUP(الصنف[[#This Row],[وحده القياس]],$S$4:$T$67,2,TRUE)</f>
        <v>2</v>
      </c>
      <c r="L465" s="1" t="s">
        <v>843</v>
      </c>
      <c r="M465" s="1">
        <v>100</v>
      </c>
      <c r="N465" s="6" t="s">
        <v>742</v>
      </c>
      <c r="O465" s="7"/>
      <c r="P465" s="9">
        <f>IF(الصنف[[#This Row],[وحده المكونات]]="جرام",1,0)</f>
        <v>0</v>
      </c>
    </row>
    <row r="466" spans="2:16" ht="20.100000000000001" customHeight="1" x14ac:dyDescent="0.2">
      <c r="B466" s="4">
        <v>464</v>
      </c>
      <c r="C466" s="4">
        <v>3501020</v>
      </c>
      <c r="D466" s="2" t="s">
        <v>741</v>
      </c>
      <c r="E466" s="2" t="s">
        <v>741</v>
      </c>
      <c r="G466" s="1" t="str">
        <f>LEFT(الصنف[[#This Row],[تصنيف فرعي (2)]],4)</f>
        <v>3501</v>
      </c>
      <c r="H466" s="5" t="s">
        <v>1032</v>
      </c>
      <c r="I466" s="5" t="str">
        <f>LEFT(الصنف[[#This Row],[تصنيف فرعي (1)]],2)</f>
        <v>35</v>
      </c>
      <c r="J466" s="1" t="s">
        <v>901</v>
      </c>
      <c r="K466" s="1">
        <f>VLOOKUP(الصنف[[#This Row],[وحده القياس]],$S$4:$T$67,2,TRUE)</f>
        <v>43</v>
      </c>
      <c r="L466" s="1" t="s">
        <v>742</v>
      </c>
      <c r="M466" s="1">
        <v>1</v>
      </c>
      <c r="N466" s="6" t="s">
        <v>742</v>
      </c>
      <c r="O466" s="7"/>
      <c r="P466" s="9">
        <f>IF(الصنف[[#This Row],[وحده المكونات]]="جرام",1,0)</f>
        <v>0</v>
      </c>
    </row>
    <row r="467" spans="2:16" ht="20.100000000000001" customHeight="1" x14ac:dyDescent="0.2">
      <c r="B467" s="4">
        <v>465</v>
      </c>
      <c r="C467" s="4">
        <v>3501021</v>
      </c>
      <c r="D467" s="2" t="s">
        <v>740</v>
      </c>
      <c r="E467" s="2" t="s">
        <v>740</v>
      </c>
      <c r="G467" s="1" t="str">
        <f>LEFT(الصنف[[#This Row],[تصنيف فرعي (2)]],4)</f>
        <v>3501</v>
      </c>
      <c r="H467" s="5" t="s">
        <v>1032</v>
      </c>
      <c r="I467" s="5" t="str">
        <f>LEFT(الصنف[[#This Row],[تصنيف فرعي (1)]],2)</f>
        <v>35</v>
      </c>
      <c r="J467" s="1" t="s">
        <v>901</v>
      </c>
      <c r="K467" s="1">
        <f>VLOOKUP(الصنف[[#This Row],[وحده القياس]],$S$4:$T$67,2,TRUE)</f>
        <v>43</v>
      </c>
      <c r="L467" s="1" t="s">
        <v>742</v>
      </c>
      <c r="M467" s="1">
        <v>1</v>
      </c>
      <c r="N467" s="6" t="s">
        <v>742</v>
      </c>
      <c r="O467" s="7"/>
      <c r="P467" s="9">
        <f>IF(الصنف[[#This Row],[وحده المكونات]]="جرام",1,0)</f>
        <v>0</v>
      </c>
    </row>
    <row r="468" spans="2:16" ht="20.100000000000001" customHeight="1" x14ac:dyDescent="0.2">
      <c r="B468" s="4">
        <v>466</v>
      </c>
      <c r="C468" s="4">
        <v>3501022</v>
      </c>
      <c r="D468" s="2" t="s">
        <v>739</v>
      </c>
      <c r="E468" s="2" t="s">
        <v>739</v>
      </c>
      <c r="G468" s="1" t="str">
        <f>LEFT(الصنف[[#This Row],[تصنيف فرعي (2)]],4)</f>
        <v>3501</v>
      </c>
      <c r="H468" s="5" t="s">
        <v>1032</v>
      </c>
      <c r="I468" s="5" t="str">
        <f>LEFT(الصنف[[#This Row],[تصنيف فرعي (1)]],2)</f>
        <v>35</v>
      </c>
      <c r="J468" s="1" t="s">
        <v>901</v>
      </c>
      <c r="K468" s="1">
        <f>VLOOKUP(الصنف[[#This Row],[وحده القياس]],$S$4:$T$67,2,TRUE)</f>
        <v>43</v>
      </c>
      <c r="L468" s="1" t="s">
        <v>742</v>
      </c>
      <c r="M468" s="1">
        <v>1</v>
      </c>
      <c r="N468" s="6" t="s">
        <v>742</v>
      </c>
      <c r="O468" s="7"/>
      <c r="P468" s="9">
        <f>IF(الصنف[[#This Row],[وحده المكونات]]="جرام",1,0)</f>
        <v>0</v>
      </c>
    </row>
    <row r="469" spans="2:16" ht="20.100000000000001" customHeight="1" x14ac:dyDescent="0.2">
      <c r="B469" s="4">
        <v>467</v>
      </c>
      <c r="C469" s="4">
        <v>3501023</v>
      </c>
      <c r="D469" s="2" t="s">
        <v>738</v>
      </c>
      <c r="E469" s="2" t="s">
        <v>738</v>
      </c>
      <c r="G469" s="1" t="str">
        <f>LEFT(الصنف[[#This Row],[تصنيف فرعي (2)]],4)</f>
        <v>3501</v>
      </c>
      <c r="H469" s="5" t="s">
        <v>1032</v>
      </c>
      <c r="I469" s="5" t="str">
        <f>LEFT(الصنف[[#This Row],[تصنيف فرعي (1)]],2)</f>
        <v>35</v>
      </c>
      <c r="J469" s="1" t="s">
        <v>901</v>
      </c>
      <c r="K469" s="1">
        <f>VLOOKUP(الصنف[[#This Row],[وحده القياس]],$S$4:$T$67,2,TRUE)</f>
        <v>43</v>
      </c>
      <c r="L469" s="1" t="s">
        <v>742</v>
      </c>
      <c r="M469" s="1">
        <v>1</v>
      </c>
      <c r="N469" s="6" t="s">
        <v>742</v>
      </c>
      <c r="O469" s="7"/>
      <c r="P469" s="9">
        <f>IF(الصنف[[#This Row],[وحده المكونات]]="جرام",1,0)</f>
        <v>0</v>
      </c>
    </row>
    <row r="470" spans="2:16" ht="20.100000000000001" customHeight="1" x14ac:dyDescent="0.2">
      <c r="B470" s="4">
        <v>468</v>
      </c>
      <c r="C470" s="4">
        <v>3501024</v>
      </c>
      <c r="D470" s="2" t="s">
        <v>737</v>
      </c>
      <c r="E470" s="2" t="s">
        <v>737</v>
      </c>
      <c r="G470" s="1" t="str">
        <f>LEFT(الصنف[[#This Row],[تصنيف فرعي (2)]],4)</f>
        <v>3501</v>
      </c>
      <c r="H470" s="5" t="s">
        <v>1032</v>
      </c>
      <c r="I470" s="5" t="str">
        <f>LEFT(الصنف[[#This Row],[تصنيف فرعي (1)]],2)</f>
        <v>35</v>
      </c>
      <c r="J470" s="1" t="s">
        <v>901</v>
      </c>
      <c r="K470" s="1">
        <f>VLOOKUP(الصنف[[#This Row],[وحده القياس]],$S$4:$T$67,2,TRUE)</f>
        <v>43</v>
      </c>
      <c r="L470" s="1" t="s">
        <v>742</v>
      </c>
      <c r="M470" s="1">
        <v>1</v>
      </c>
      <c r="N470" s="6" t="s">
        <v>742</v>
      </c>
      <c r="O470" s="7"/>
      <c r="P470" s="9">
        <f>IF(الصنف[[#This Row],[وحده المكونات]]="جرام",1,0)</f>
        <v>0</v>
      </c>
    </row>
    <row r="471" spans="2:16" ht="20.100000000000001" customHeight="1" x14ac:dyDescent="0.2">
      <c r="B471" s="4">
        <v>469</v>
      </c>
      <c r="C471" s="4">
        <v>3501025</v>
      </c>
      <c r="D471" s="2" t="s">
        <v>736</v>
      </c>
      <c r="E471" s="2" t="s">
        <v>736</v>
      </c>
      <c r="G471" s="1" t="str">
        <f>LEFT(الصنف[[#This Row],[تصنيف فرعي (2)]],4)</f>
        <v>3501</v>
      </c>
      <c r="H471" s="5" t="s">
        <v>1032</v>
      </c>
      <c r="I471" s="5" t="str">
        <f>LEFT(الصنف[[#This Row],[تصنيف فرعي (1)]],2)</f>
        <v>35</v>
      </c>
      <c r="J471" s="1" t="s">
        <v>901</v>
      </c>
      <c r="K471" s="1">
        <f>VLOOKUP(الصنف[[#This Row],[وحده القياس]],$S$4:$T$67,2,TRUE)</f>
        <v>43</v>
      </c>
      <c r="L471" s="1" t="s">
        <v>742</v>
      </c>
      <c r="M471" s="1">
        <v>1</v>
      </c>
      <c r="N471" s="6" t="s">
        <v>742</v>
      </c>
      <c r="O471" s="7"/>
      <c r="P471" s="9">
        <f>IF(الصنف[[#This Row],[وحده المكونات]]="جرام",1,0)</f>
        <v>0</v>
      </c>
    </row>
    <row r="472" spans="2:16" ht="20.100000000000001" customHeight="1" x14ac:dyDescent="0.2">
      <c r="B472" s="4">
        <v>470</v>
      </c>
      <c r="C472" s="4">
        <v>3501026</v>
      </c>
      <c r="D472" s="2" t="s">
        <v>641</v>
      </c>
      <c r="E472" s="2" t="s">
        <v>641</v>
      </c>
      <c r="G472" s="1" t="str">
        <f>LEFT(الصنف[[#This Row],[تصنيف فرعي (2)]],4)</f>
        <v>3501</v>
      </c>
      <c r="H472" s="5" t="s">
        <v>1032</v>
      </c>
      <c r="I472" s="5" t="str">
        <f>LEFT(الصنف[[#This Row],[تصنيف فرعي (1)]],2)</f>
        <v>35</v>
      </c>
      <c r="J472" s="1" t="s">
        <v>901</v>
      </c>
      <c r="K472" s="1">
        <f>VLOOKUP(الصنف[[#This Row],[وحده القياس]],$S$4:$T$67,2,TRUE)</f>
        <v>43</v>
      </c>
      <c r="L472" s="1" t="s">
        <v>742</v>
      </c>
      <c r="M472" s="1">
        <v>1</v>
      </c>
      <c r="N472" s="6" t="s">
        <v>742</v>
      </c>
      <c r="O472" s="7"/>
      <c r="P472" s="9">
        <f>IF(الصنف[[#This Row],[وحده المكونات]]="جرام",1,0)</f>
        <v>0</v>
      </c>
    </row>
    <row r="473" spans="2:16" ht="20.100000000000001" customHeight="1" x14ac:dyDescent="0.2">
      <c r="B473" s="4">
        <v>471</v>
      </c>
      <c r="C473" s="4">
        <v>3501027</v>
      </c>
      <c r="D473" s="2" t="s">
        <v>752</v>
      </c>
      <c r="E473" s="2" t="s">
        <v>752</v>
      </c>
      <c r="G473" s="1" t="str">
        <f>LEFT(الصنف[[#This Row],[تصنيف فرعي (2)]],4)</f>
        <v>3501</v>
      </c>
      <c r="H473" s="5" t="s">
        <v>1032</v>
      </c>
      <c r="I473" s="5" t="str">
        <f>LEFT(الصنف[[#This Row],[تصنيف فرعي (1)]],2)</f>
        <v>35</v>
      </c>
      <c r="J473" s="1" t="s">
        <v>901</v>
      </c>
      <c r="K473" s="1">
        <f>VLOOKUP(الصنف[[#This Row],[وحده القياس]],$S$4:$T$67,2,TRUE)</f>
        <v>43</v>
      </c>
      <c r="L473" s="1" t="s">
        <v>742</v>
      </c>
      <c r="M473" s="1">
        <v>1</v>
      </c>
      <c r="N473" s="6" t="s">
        <v>742</v>
      </c>
      <c r="O473" s="7"/>
      <c r="P473" s="9">
        <f>IF(الصنف[[#This Row],[وحده المكونات]]="جرام",1,0)</f>
        <v>0</v>
      </c>
    </row>
    <row r="474" spans="2:16" ht="20.100000000000001" customHeight="1" x14ac:dyDescent="0.2">
      <c r="B474" s="4">
        <v>472</v>
      </c>
      <c r="C474" s="4">
        <v>3501028</v>
      </c>
      <c r="D474" s="2" t="s">
        <v>279</v>
      </c>
      <c r="E474" s="2" t="s">
        <v>279</v>
      </c>
      <c r="G474" s="1" t="str">
        <f>LEFT(الصنف[[#This Row],[تصنيف فرعي (2)]],4)</f>
        <v>3501</v>
      </c>
      <c r="H474" s="5" t="s">
        <v>1032</v>
      </c>
      <c r="I474" s="5" t="str">
        <f>LEFT(الصنف[[#This Row],[تصنيف فرعي (1)]],2)</f>
        <v>35</v>
      </c>
      <c r="J474" s="1" t="s">
        <v>901</v>
      </c>
      <c r="K474" s="1">
        <f>VLOOKUP(الصنف[[#This Row],[وحده القياس]],$S$4:$T$67,2,TRUE)</f>
        <v>43</v>
      </c>
      <c r="L474" s="1" t="s">
        <v>742</v>
      </c>
      <c r="M474" s="1">
        <v>1</v>
      </c>
      <c r="N474" s="6" t="s">
        <v>742</v>
      </c>
      <c r="O474" s="7"/>
      <c r="P474" s="9">
        <f>IF(الصنف[[#This Row],[وحده المكونات]]="جرام",1,0)</f>
        <v>0</v>
      </c>
    </row>
    <row r="475" spans="2:16" ht="20.100000000000001" customHeight="1" x14ac:dyDescent="0.2">
      <c r="B475" s="4">
        <v>473</v>
      </c>
      <c r="C475" s="4">
        <v>3501029</v>
      </c>
      <c r="D475" s="2" t="s">
        <v>735</v>
      </c>
      <c r="E475" s="2" t="s">
        <v>735</v>
      </c>
      <c r="G475" s="1" t="str">
        <f>LEFT(الصنف[[#This Row],[تصنيف فرعي (2)]],4)</f>
        <v>3501</v>
      </c>
      <c r="H475" s="5" t="s">
        <v>1032</v>
      </c>
      <c r="I475" s="5" t="str">
        <f>LEFT(الصنف[[#This Row],[تصنيف فرعي (1)]],2)</f>
        <v>35</v>
      </c>
      <c r="J475" s="1" t="s">
        <v>901</v>
      </c>
      <c r="K475" s="1">
        <f>VLOOKUP(الصنف[[#This Row],[وحده القياس]],$S$4:$T$67,2,TRUE)</f>
        <v>43</v>
      </c>
      <c r="L475" s="1" t="s">
        <v>742</v>
      </c>
      <c r="M475" s="1">
        <v>1</v>
      </c>
      <c r="N475" s="6" t="s">
        <v>742</v>
      </c>
      <c r="O475" s="7"/>
      <c r="P475" s="9">
        <f>IF(الصنف[[#This Row],[وحده المكونات]]="جرام",1,0)</f>
        <v>0</v>
      </c>
    </row>
    <row r="476" spans="2:16" ht="20.100000000000001" customHeight="1" x14ac:dyDescent="0.2">
      <c r="B476" s="4">
        <v>474</v>
      </c>
      <c r="C476" s="4">
        <v>3501030</v>
      </c>
      <c r="D476" s="2" t="s">
        <v>540</v>
      </c>
      <c r="E476" s="2" t="s">
        <v>540</v>
      </c>
      <c r="G476" s="1" t="str">
        <f>LEFT(الصنف[[#This Row],[تصنيف فرعي (2)]],4)</f>
        <v>3501</v>
      </c>
      <c r="H476" s="5" t="s">
        <v>1032</v>
      </c>
      <c r="I476" s="5" t="str">
        <f>LEFT(الصنف[[#This Row],[تصنيف فرعي (1)]],2)</f>
        <v>35</v>
      </c>
      <c r="J476" s="1" t="s">
        <v>901</v>
      </c>
      <c r="K476" s="1">
        <f>VLOOKUP(الصنف[[#This Row],[وحده القياس]],$S$4:$T$67,2,TRUE)</f>
        <v>43</v>
      </c>
      <c r="L476" s="1" t="s">
        <v>742</v>
      </c>
      <c r="M476" s="1">
        <v>1</v>
      </c>
      <c r="N476" s="6" t="s">
        <v>742</v>
      </c>
      <c r="O476" s="7"/>
      <c r="P476" s="9">
        <f>IF(الصنف[[#This Row],[وحده المكونات]]="جرام",1,0)</f>
        <v>0</v>
      </c>
    </row>
    <row r="477" spans="2:16" ht="20.100000000000001" customHeight="1" x14ac:dyDescent="0.2">
      <c r="B477" s="4">
        <v>475</v>
      </c>
      <c r="C477" s="4">
        <v>3501031</v>
      </c>
      <c r="D477" s="2" t="s">
        <v>541</v>
      </c>
      <c r="E477" s="2" t="s">
        <v>541</v>
      </c>
      <c r="G477" s="1" t="str">
        <f>LEFT(الصنف[[#This Row],[تصنيف فرعي (2)]],4)</f>
        <v>3501</v>
      </c>
      <c r="H477" s="5" t="s">
        <v>1032</v>
      </c>
      <c r="I477" s="5" t="str">
        <f>LEFT(الصنف[[#This Row],[تصنيف فرعي (1)]],2)</f>
        <v>35</v>
      </c>
      <c r="J477" s="1" t="s">
        <v>901</v>
      </c>
      <c r="K477" s="1">
        <f>VLOOKUP(الصنف[[#This Row],[وحده القياس]],$S$4:$T$67,2,TRUE)</f>
        <v>43</v>
      </c>
      <c r="L477" s="1" t="s">
        <v>742</v>
      </c>
      <c r="M477" s="1">
        <v>1</v>
      </c>
      <c r="N477" s="6" t="s">
        <v>742</v>
      </c>
      <c r="O477" s="7"/>
      <c r="P477" s="9">
        <f>IF(الصنف[[#This Row],[وحده المكونات]]="جرام",1,0)</f>
        <v>0</v>
      </c>
    </row>
    <row r="478" spans="2:16" ht="20.100000000000001" customHeight="1" x14ac:dyDescent="0.2">
      <c r="B478" s="4">
        <v>476</v>
      </c>
      <c r="C478" s="4">
        <v>3501032</v>
      </c>
      <c r="D478" s="2" t="s">
        <v>510</v>
      </c>
      <c r="E478" s="2" t="s">
        <v>510</v>
      </c>
      <c r="G478" s="1" t="str">
        <f>LEFT(الصنف[[#This Row],[تصنيف فرعي (2)]],4)</f>
        <v>3501</v>
      </c>
      <c r="H478" s="5" t="s">
        <v>1032</v>
      </c>
      <c r="I478" s="5" t="str">
        <f>LEFT(الصنف[[#This Row],[تصنيف فرعي (1)]],2)</f>
        <v>35</v>
      </c>
      <c r="J478" s="1" t="s">
        <v>901</v>
      </c>
      <c r="K478" s="1">
        <f>VLOOKUP(الصنف[[#This Row],[وحده القياس]],$S$4:$T$67,2,TRUE)</f>
        <v>43</v>
      </c>
      <c r="L478" s="1" t="s">
        <v>742</v>
      </c>
      <c r="M478" s="1">
        <v>1</v>
      </c>
      <c r="N478" s="6" t="s">
        <v>742</v>
      </c>
      <c r="O478" s="7"/>
      <c r="P478" s="9">
        <f>IF(الصنف[[#This Row],[وحده المكونات]]="جرام",1,0)</f>
        <v>0</v>
      </c>
    </row>
    <row r="479" spans="2:16" ht="20.100000000000001" customHeight="1" x14ac:dyDescent="0.2">
      <c r="B479" s="4">
        <v>477</v>
      </c>
      <c r="C479" s="4">
        <v>3501033</v>
      </c>
      <c r="D479" s="2" t="s">
        <v>378</v>
      </c>
      <c r="E479" s="2" t="s">
        <v>378</v>
      </c>
      <c r="G479" s="1" t="str">
        <f>LEFT(الصنف[[#This Row],[تصنيف فرعي (2)]],4)</f>
        <v>3501</v>
      </c>
      <c r="H479" s="5" t="s">
        <v>1032</v>
      </c>
      <c r="I479" s="5" t="str">
        <f>LEFT(الصنف[[#This Row],[تصنيف فرعي (1)]],2)</f>
        <v>35</v>
      </c>
      <c r="J479" s="1" t="s">
        <v>901</v>
      </c>
      <c r="K479" s="1">
        <f>VLOOKUP(الصنف[[#This Row],[وحده القياس]],$S$4:$T$67,2,TRUE)</f>
        <v>43</v>
      </c>
      <c r="L479" s="1" t="s">
        <v>742</v>
      </c>
      <c r="M479" s="1">
        <v>1</v>
      </c>
      <c r="N479" s="6" t="s">
        <v>742</v>
      </c>
      <c r="O479" s="7"/>
      <c r="P479" s="9">
        <f>IF(الصنف[[#This Row],[وحده المكونات]]="جرام",1,0)</f>
        <v>0</v>
      </c>
    </row>
    <row r="480" spans="2:16" ht="20.100000000000001" customHeight="1" x14ac:dyDescent="0.2">
      <c r="B480" s="4">
        <v>478</v>
      </c>
      <c r="C480" s="4">
        <v>3501034</v>
      </c>
      <c r="D480" s="2" t="s">
        <v>291</v>
      </c>
      <c r="E480" s="2" t="s">
        <v>291</v>
      </c>
      <c r="G480" s="1" t="str">
        <f>LEFT(الصنف[[#This Row],[تصنيف فرعي (2)]],4)</f>
        <v>3501</v>
      </c>
      <c r="H480" s="5" t="s">
        <v>1032</v>
      </c>
      <c r="I480" s="5" t="str">
        <f>LEFT(الصنف[[#This Row],[تصنيف فرعي (1)]],2)</f>
        <v>35</v>
      </c>
      <c r="J480" s="1" t="s">
        <v>901</v>
      </c>
      <c r="K480" s="1">
        <f>VLOOKUP(الصنف[[#This Row],[وحده القياس]],$S$4:$T$67,2,TRUE)</f>
        <v>43</v>
      </c>
      <c r="L480" s="1" t="s">
        <v>742</v>
      </c>
      <c r="M480" s="1">
        <v>1</v>
      </c>
      <c r="N480" s="6" t="s">
        <v>742</v>
      </c>
      <c r="O480" s="7"/>
      <c r="P480" s="9">
        <f>IF(الصنف[[#This Row],[وحده المكونات]]="جرام",1,0)</f>
        <v>0</v>
      </c>
    </row>
    <row r="481" spans="2:16" ht="20.100000000000001" customHeight="1" x14ac:dyDescent="0.2">
      <c r="B481" s="4">
        <v>479</v>
      </c>
      <c r="C481" s="4">
        <v>3501035</v>
      </c>
      <c r="D481" s="2" t="s">
        <v>511</v>
      </c>
      <c r="E481" s="2" t="s">
        <v>511</v>
      </c>
      <c r="G481" s="1" t="str">
        <f>LEFT(الصنف[[#This Row],[تصنيف فرعي (2)]],4)</f>
        <v>3501</v>
      </c>
      <c r="H481" s="5" t="s">
        <v>1032</v>
      </c>
      <c r="I481" s="5" t="str">
        <f>LEFT(الصنف[[#This Row],[تصنيف فرعي (1)]],2)</f>
        <v>35</v>
      </c>
      <c r="J481" s="1" t="s">
        <v>901</v>
      </c>
      <c r="K481" s="1">
        <f>VLOOKUP(الصنف[[#This Row],[وحده القياس]],$S$4:$T$67,2,TRUE)</f>
        <v>43</v>
      </c>
      <c r="L481" s="1" t="s">
        <v>742</v>
      </c>
      <c r="M481" s="1">
        <v>1</v>
      </c>
      <c r="N481" s="6" t="s">
        <v>742</v>
      </c>
      <c r="O481" s="7"/>
      <c r="P481" s="9">
        <f>IF(الصنف[[#This Row],[وحده المكونات]]="جرام",1,0)</f>
        <v>0</v>
      </c>
    </row>
    <row r="482" spans="2:16" ht="20.100000000000001" customHeight="1" x14ac:dyDescent="0.2">
      <c r="B482" s="4">
        <v>480</v>
      </c>
      <c r="C482" s="4">
        <v>3501036</v>
      </c>
      <c r="D482" s="2" t="s">
        <v>365</v>
      </c>
      <c r="E482" s="2" t="s">
        <v>365</v>
      </c>
      <c r="G482" s="1" t="str">
        <f>LEFT(الصنف[[#This Row],[تصنيف فرعي (2)]],4)</f>
        <v>3501</v>
      </c>
      <c r="H482" s="5" t="s">
        <v>1032</v>
      </c>
      <c r="I482" s="5" t="str">
        <f>LEFT(الصنف[[#This Row],[تصنيف فرعي (1)]],2)</f>
        <v>35</v>
      </c>
      <c r="J482" s="1" t="s">
        <v>901</v>
      </c>
      <c r="K482" s="1">
        <f>VLOOKUP(الصنف[[#This Row],[وحده القياس]],$S$4:$T$67,2,TRUE)</f>
        <v>43</v>
      </c>
      <c r="L482" s="1" t="s">
        <v>742</v>
      </c>
      <c r="M482" s="1">
        <v>1</v>
      </c>
      <c r="N482" s="6" t="s">
        <v>742</v>
      </c>
      <c r="O482" s="7"/>
      <c r="P482" s="9">
        <f>IF(الصنف[[#This Row],[وحده المكونات]]="جرام",1,0)</f>
        <v>0</v>
      </c>
    </row>
    <row r="483" spans="2:16" ht="20.100000000000001" customHeight="1" x14ac:dyDescent="0.2">
      <c r="B483" s="4">
        <v>481</v>
      </c>
      <c r="C483" s="4">
        <v>3501037</v>
      </c>
      <c r="D483" s="2" t="s">
        <v>270</v>
      </c>
      <c r="E483" s="2" t="s">
        <v>270</v>
      </c>
      <c r="G483" s="1" t="str">
        <f>LEFT(الصنف[[#This Row],[تصنيف فرعي (2)]],4)</f>
        <v>3501</v>
      </c>
      <c r="H483" s="5" t="s">
        <v>1032</v>
      </c>
      <c r="I483" s="5" t="str">
        <f>LEFT(الصنف[[#This Row],[تصنيف فرعي (1)]],2)</f>
        <v>35</v>
      </c>
      <c r="J483" s="1" t="s">
        <v>901</v>
      </c>
      <c r="K483" s="1">
        <f>VLOOKUP(الصنف[[#This Row],[وحده القياس]],$S$4:$T$67,2,TRUE)</f>
        <v>43</v>
      </c>
      <c r="L483" s="1" t="s">
        <v>742</v>
      </c>
      <c r="M483" s="1">
        <v>1</v>
      </c>
      <c r="N483" s="6" t="s">
        <v>742</v>
      </c>
      <c r="O483" s="7"/>
      <c r="P483" s="9">
        <f>IF(الصنف[[#This Row],[وحده المكونات]]="جرام",1,0)</f>
        <v>0</v>
      </c>
    </row>
    <row r="484" spans="2:16" ht="20.100000000000001" customHeight="1" x14ac:dyDescent="0.2">
      <c r="B484" s="4">
        <v>482</v>
      </c>
      <c r="C484" s="4">
        <v>3501038</v>
      </c>
      <c r="D484" s="2" t="s">
        <v>180</v>
      </c>
      <c r="E484" s="2" t="s">
        <v>180</v>
      </c>
      <c r="G484" s="1" t="str">
        <f>LEFT(الصنف[[#This Row],[تصنيف فرعي (2)]],4)</f>
        <v>3501</v>
      </c>
      <c r="H484" s="5" t="s">
        <v>1032</v>
      </c>
      <c r="I484" s="5" t="str">
        <f>LEFT(الصنف[[#This Row],[تصنيف فرعي (1)]],2)</f>
        <v>35</v>
      </c>
      <c r="J484" s="1" t="s">
        <v>901</v>
      </c>
      <c r="K484" s="1">
        <f>VLOOKUP(الصنف[[#This Row],[وحده القياس]],$S$4:$T$67,2,TRUE)</f>
        <v>43</v>
      </c>
      <c r="L484" s="1" t="s">
        <v>742</v>
      </c>
      <c r="M484" s="1">
        <v>1</v>
      </c>
      <c r="N484" s="6" t="s">
        <v>742</v>
      </c>
      <c r="O484" s="7"/>
      <c r="P484" s="9">
        <f>IF(الصنف[[#This Row],[وحده المكونات]]="جرام",1,0)</f>
        <v>0</v>
      </c>
    </row>
    <row r="485" spans="2:16" ht="20.100000000000001" customHeight="1" x14ac:dyDescent="0.2">
      <c r="B485" s="4">
        <v>483</v>
      </c>
      <c r="C485" s="4">
        <v>3501039</v>
      </c>
      <c r="D485" s="2" t="s">
        <v>523</v>
      </c>
      <c r="E485" s="2" t="s">
        <v>523</v>
      </c>
      <c r="G485" s="1" t="str">
        <f>LEFT(الصنف[[#This Row],[تصنيف فرعي (2)]],4)</f>
        <v>3501</v>
      </c>
      <c r="H485" s="5" t="s">
        <v>1032</v>
      </c>
      <c r="I485" s="5" t="str">
        <f>LEFT(الصنف[[#This Row],[تصنيف فرعي (1)]],2)</f>
        <v>35</v>
      </c>
      <c r="J485" s="1" t="s">
        <v>901</v>
      </c>
      <c r="K485" s="1">
        <f>VLOOKUP(الصنف[[#This Row],[وحده القياس]],$S$4:$T$67,2,TRUE)</f>
        <v>43</v>
      </c>
      <c r="L485" s="1" t="s">
        <v>742</v>
      </c>
      <c r="M485" s="1">
        <v>1</v>
      </c>
      <c r="N485" s="6" t="s">
        <v>742</v>
      </c>
      <c r="O485" s="7"/>
      <c r="P485" s="9">
        <f>IF(الصنف[[#This Row],[وحده المكونات]]="جرام",1,0)</f>
        <v>0</v>
      </c>
    </row>
    <row r="486" spans="2:16" ht="20.100000000000001" customHeight="1" x14ac:dyDescent="0.2">
      <c r="B486" s="4">
        <v>484</v>
      </c>
      <c r="C486" s="4">
        <v>3501040</v>
      </c>
      <c r="D486" s="2" t="s">
        <v>321</v>
      </c>
      <c r="E486" s="2" t="s">
        <v>321</v>
      </c>
      <c r="G486" s="1" t="str">
        <f>LEFT(الصنف[[#This Row],[تصنيف فرعي (2)]],4)</f>
        <v>3501</v>
      </c>
      <c r="H486" s="5" t="s">
        <v>1032</v>
      </c>
      <c r="I486" s="5" t="str">
        <f>LEFT(الصنف[[#This Row],[تصنيف فرعي (1)]],2)</f>
        <v>35</v>
      </c>
      <c r="J486" s="1" t="s">
        <v>901</v>
      </c>
      <c r="K486" s="1">
        <f>VLOOKUP(الصنف[[#This Row],[وحده القياس]],$S$4:$T$67,2,TRUE)</f>
        <v>57</v>
      </c>
      <c r="L486" s="1" t="s">
        <v>906</v>
      </c>
      <c r="M486" s="1">
        <v>50</v>
      </c>
      <c r="N486" s="6" t="s">
        <v>742</v>
      </c>
      <c r="O486" s="7"/>
      <c r="P486" s="9">
        <f>IF(الصنف[[#This Row],[وحده المكونات]]="جرام",1,0)</f>
        <v>0</v>
      </c>
    </row>
    <row r="487" spans="2:16" ht="20.100000000000001" customHeight="1" x14ac:dyDescent="0.2">
      <c r="B487" s="4">
        <v>485</v>
      </c>
      <c r="C487" s="4">
        <v>3501041</v>
      </c>
      <c r="D487" s="2" t="s">
        <v>352</v>
      </c>
      <c r="E487" s="2" t="s">
        <v>352</v>
      </c>
      <c r="G487" s="1" t="str">
        <f>LEFT(الصنف[[#This Row],[تصنيف فرعي (2)]],4)</f>
        <v>3501</v>
      </c>
      <c r="H487" s="5" t="s">
        <v>1032</v>
      </c>
      <c r="I487" s="5" t="str">
        <f>LEFT(الصنف[[#This Row],[تصنيف فرعي (1)]],2)</f>
        <v>35</v>
      </c>
      <c r="J487" s="1" t="s">
        <v>901</v>
      </c>
      <c r="K487" s="1">
        <f>VLOOKUP(الصنف[[#This Row],[وحده القياس]],$S$4:$T$67,2,TRUE)</f>
        <v>57</v>
      </c>
      <c r="L487" s="1" t="s">
        <v>906</v>
      </c>
      <c r="M487" s="1">
        <v>50</v>
      </c>
      <c r="N487" s="6" t="s">
        <v>742</v>
      </c>
      <c r="O487" s="7"/>
      <c r="P487" s="9">
        <f>IF(الصنف[[#This Row],[وحده المكونات]]="جرام",1,0)</f>
        <v>0</v>
      </c>
    </row>
    <row r="488" spans="2:16" ht="20.100000000000001" customHeight="1" x14ac:dyDescent="0.2">
      <c r="B488" s="4">
        <v>486</v>
      </c>
      <c r="C488" s="4">
        <v>3501042</v>
      </c>
      <c r="D488" s="2" t="s">
        <v>640</v>
      </c>
      <c r="E488" s="2" t="s">
        <v>640</v>
      </c>
      <c r="G488" s="1" t="str">
        <f>LEFT(الصنف[[#This Row],[تصنيف فرعي (2)]],4)</f>
        <v>3501</v>
      </c>
      <c r="H488" s="5" t="s">
        <v>1032</v>
      </c>
      <c r="I488" s="5" t="str">
        <f>LEFT(الصنف[[#This Row],[تصنيف فرعي (1)]],2)</f>
        <v>35</v>
      </c>
      <c r="J488" s="1" t="s">
        <v>901</v>
      </c>
      <c r="K488" s="1">
        <f>VLOOKUP(الصنف[[#This Row],[وحده القياس]],$S$4:$T$67,2,TRUE)</f>
        <v>43</v>
      </c>
      <c r="L488" s="1" t="s">
        <v>742</v>
      </c>
      <c r="M488" s="1">
        <v>1</v>
      </c>
      <c r="N488" s="6" t="s">
        <v>742</v>
      </c>
      <c r="O488" s="7"/>
      <c r="P488" s="9">
        <f>IF(الصنف[[#This Row],[وحده المكونات]]="جرام",1,0)</f>
        <v>0</v>
      </c>
    </row>
    <row r="489" spans="2:16" ht="20.100000000000001" customHeight="1" x14ac:dyDescent="0.2">
      <c r="B489" s="4">
        <v>487</v>
      </c>
      <c r="C489" s="4">
        <v>3502001</v>
      </c>
      <c r="D489" s="2" t="s">
        <v>796</v>
      </c>
      <c r="E489" s="2" t="s">
        <v>734</v>
      </c>
      <c r="G489" s="1" t="str">
        <f>LEFT(الصنف[[#This Row],[تصنيف فرعي (2)]],4)</f>
        <v>3502</v>
      </c>
      <c r="H489" s="5" t="s">
        <v>1033</v>
      </c>
      <c r="I489" s="5" t="str">
        <f>LEFT(الصنف[[#This Row],[تصنيف فرعي (1)]],2)</f>
        <v>35</v>
      </c>
      <c r="J489" s="1" t="s">
        <v>901</v>
      </c>
      <c r="K489" s="1">
        <f>VLOOKUP(الصنف[[#This Row],[وحده القياس]],$S$4:$T$67,2,TRUE)</f>
        <v>43</v>
      </c>
      <c r="L489" s="1" t="s">
        <v>742</v>
      </c>
      <c r="M489" s="1">
        <v>1</v>
      </c>
      <c r="N489" s="6" t="s">
        <v>742</v>
      </c>
      <c r="O489" s="7"/>
      <c r="P489" s="9">
        <f>IF(الصنف[[#This Row],[وحده المكونات]]="جرام",1,0)</f>
        <v>0</v>
      </c>
    </row>
    <row r="490" spans="2:16" ht="20.100000000000001" customHeight="1" x14ac:dyDescent="0.2">
      <c r="B490" s="4">
        <v>488</v>
      </c>
      <c r="C490" s="4">
        <v>3502002</v>
      </c>
      <c r="D490" s="2" t="s">
        <v>733</v>
      </c>
      <c r="E490" s="2" t="s">
        <v>733</v>
      </c>
      <c r="G490" s="1" t="str">
        <f>LEFT(الصنف[[#This Row],[تصنيف فرعي (2)]],4)</f>
        <v>3502</v>
      </c>
      <c r="H490" s="5" t="s">
        <v>1033</v>
      </c>
      <c r="I490" s="5" t="str">
        <f>LEFT(الصنف[[#This Row],[تصنيف فرعي (1)]],2)</f>
        <v>35</v>
      </c>
      <c r="J490" s="1" t="s">
        <v>901</v>
      </c>
      <c r="K490" s="1">
        <f>VLOOKUP(الصنف[[#This Row],[وحده القياس]],$S$4:$T$67,2,TRUE)</f>
        <v>43</v>
      </c>
      <c r="L490" s="1" t="s">
        <v>742</v>
      </c>
      <c r="M490" s="1">
        <v>1</v>
      </c>
      <c r="N490" s="6" t="s">
        <v>742</v>
      </c>
      <c r="O490" s="7"/>
      <c r="P490" s="9">
        <f>IF(الصنف[[#This Row],[وحده المكونات]]="جرام",1,0)</f>
        <v>0</v>
      </c>
    </row>
    <row r="491" spans="2:16" ht="20.100000000000001" customHeight="1" x14ac:dyDescent="0.2">
      <c r="B491" s="4">
        <v>489</v>
      </c>
      <c r="C491" s="4">
        <v>3502003</v>
      </c>
      <c r="D491" s="2" t="s">
        <v>487</v>
      </c>
      <c r="E491" s="2" t="s">
        <v>487</v>
      </c>
      <c r="G491" s="1" t="str">
        <f>LEFT(الصنف[[#This Row],[تصنيف فرعي (2)]],4)</f>
        <v>3502</v>
      </c>
      <c r="H491" s="5" t="s">
        <v>1033</v>
      </c>
      <c r="I491" s="5" t="str">
        <f>LEFT(الصنف[[#This Row],[تصنيف فرعي (1)]],2)</f>
        <v>35</v>
      </c>
      <c r="J491" s="1" t="s">
        <v>901</v>
      </c>
      <c r="K491" s="1">
        <f>VLOOKUP(الصنف[[#This Row],[وحده القياس]],$S$4:$T$67,2,TRUE)</f>
        <v>43</v>
      </c>
      <c r="L491" s="1" t="s">
        <v>742</v>
      </c>
      <c r="M491" s="1">
        <v>1</v>
      </c>
      <c r="N491" s="6" t="s">
        <v>742</v>
      </c>
      <c r="O491" s="7"/>
      <c r="P491" s="9">
        <f>IF(الصنف[[#This Row],[وحده المكونات]]="جرام",1,0)</f>
        <v>0</v>
      </c>
    </row>
    <row r="492" spans="2:16" ht="20.100000000000001" customHeight="1" x14ac:dyDescent="0.2">
      <c r="B492" s="4">
        <v>490</v>
      </c>
      <c r="C492" s="4">
        <v>3502004</v>
      </c>
      <c r="D492" s="2" t="s">
        <v>205</v>
      </c>
      <c r="E492" s="2" t="s">
        <v>205</v>
      </c>
      <c r="G492" s="1" t="str">
        <f>LEFT(الصنف[[#This Row],[تصنيف فرعي (2)]],4)</f>
        <v>3502</v>
      </c>
      <c r="H492" s="5" t="s">
        <v>1033</v>
      </c>
      <c r="I492" s="5" t="str">
        <f>LEFT(الصنف[[#This Row],[تصنيف فرعي (1)]],2)</f>
        <v>35</v>
      </c>
      <c r="J492" s="1" t="s">
        <v>901</v>
      </c>
      <c r="K492" s="1">
        <f>VLOOKUP(الصنف[[#This Row],[وحده القياس]],$S$4:$T$67,2,TRUE)</f>
        <v>43</v>
      </c>
      <c r="L492" s="1" t="s">
        <v>742</v>
      </c>
      <c r="M492" s="1">
        <v>1</v>
      </c>
      <c r="N492" s="6" t="s">
        <v>742</v>
      </c>
      <c r="O492" s="7"/>
      <c r="P492" s="9">
        <f>IF(الصنف[[#This Row],[وحده المكونات]]="جرام",1,0)</f>
        <v>0</v>
      </c>
    </row>
    <row r="493" spans="2:16" ht="20.100000000000001" customHeight="1" x14ac:dyDescent="0.2">
      <c r="B493" s="4">
        <v>491</v>
      </c>
      <c r="C493" s="4">
        <v>3502005</v>
      </c>
      <c r="D493" s="2" t="s">
        <v>1053</v>
      </c>
      <c r="E493" s="2" t="s">
        <v>326</v>
      </c>
      <c r="G493" s="1" t="str">
        <f>LEFT(الصنف[[#This Row],[تصنيف فرعي (2)]],4)</f>
        <v>3502</v>
      </c>
      <c r="H493" s="5" t="s">
        <v>1033</v>
      </c>
      <c r="I493" s="5" t="str">
        <f>LEFT(الصنف[[#This Row],[تصنيف فرعي (1)]],2)</f>
        <v>35</v>
      </c>
      <c r="J493" s="1" t="s">
        <v>901</v>
      </c>
      <c r="K493" s="1">
        <f>VLOOKUP(الصنف[[#This Row],[وحده القياس]],$S$4:$T$67,2,TRUE)</f>
        <v>43</v>
      </c>
      <c r="L493" s="1" t="s">
        <v>742</v>
      </c>
      <c r="M493" s="1">
        <v>1</v>
      </c>
      <c r="N493" s="6" t="s">
        <v>742</v>
      </c>
      <c r="O493" s="7"/>
      <c r="P493" s="9">
        <f>IF(الصنف[[#This Row],[وحده المكونات]]="جرام",1,0)</f>
        <v>0</v>
      </c>
    </row>
    <row r="494" spans="2:16" ht="20.100000000000001" customHeight="1" x14ac:dyDescent="0.2">
      <c r="B494" s="4">
        <v>492</v>
      </c>
      <c r="C494" s="4">
        <v>3502006</v>
      </c>
      <c r="D494" s="2" t="s">
        <v>1054</v>
      </c>
      <c r="E494" s="2" t="s">
        <v>154</v>
      </c>
      <c r="G494" s="1" t="str">
        <f>LEFT(الصنف[[#This Row],[تصنيف فرعي (2)]],4)</f>
        <v>3502</v>
      </c>
      <c r="H494" s="5" t="s">
        <v>1033</v>
      </c>
      <c r="I494" s="5" t="str">
        <f>LEFT(الصنف[[#This Row],[تصنيف فرعي (1)]],2)</f>
        <v>35</v>
      </c>
      <c r="J494" s="1" t="s">
        <v>901</v>
      </c>
      <c r="K494" s="1">
        <f>VLOOKUP(الصنف[[#This Row],[وحده القياس]],$S$4:$T$67,2,TRUE)</f>
        <v>43</v>
      </c>
      <c r="L494" s="1" t="s">
        <v>742</v>
      </c>
      <c r="M494" s="1">
        <v>1</v>
      </c>
      <c r="N494" s="6" t="s">
        <v>742</v>
      </c>
      <c r="O494" s="7"/>
      <c r="P494" s="9">
        <f>IF(الصنف[[#This Row],[وحده المكونات]]="جرام",1,0)</f>
        <v>0</v>
      </c>
    </row>
    <row r="495" spans="2:16" ht="20.100000000000001" customHeight="1" x14ac:dyDescent="0.2">
      <c r="B495" s="4">
        <v>493</v>
      </c>
      <c r="C495" s="4">
        <v>3502007</v>
      </c>
      <c r="D495" s="2" t="s">
        <v>372</v>
      </c>
      <c r="E495" s="2" t="s">
        <v>372</v>
      </c>
      <c r="G495" s="1" t="str">
        <f>LEFT(الصنف[[#This Row],[تصنيف فرعي (2)]],4)</f>
        <v>3502</v>
      </c>
      <c r="H495" s="5" t="s">
        <v>1033</v>
      </c>
      <c r="I495" s="5" t="str">
        <f>LEFT(الصنف[[#This Row],[تصنيف فرعي (1)]],2)</f>
        <v>35</v>
      </c>
      <c r="J495" s="1" t="s">
        <v>901</v>
      </c>
      <c r="K495" s="1">
        <f>VLOOKUP(الصنف[[#This Row],[وحده القياس]],$S$4:$T$67,2,TRUE)</f>
        <v>43</v>
      </c>
      <c r="L495" s="1" t="s">
        <v>742</v>
      </c>
      <c r="M495" s="1">
        <v>1</v>
      </c>
      <c r="N495" s="6" t="s">
        <v>742</v>
      </c>
      <c r="O495" s="7"/>
      <c r="P495" s="9">
        <f>IF(الصنف[[#This Row],[وحده المكونات]]="جرام",1,0)</f>
        <v>0</v>
      </c>
    </row>
    <row r="496" spans="2:16" ht="20.100000000000001" customHeight="1" x14ac:dyDescent="0.2">
      <c r="B496" s="4">
        <v>494</v>
      </c>
      <c r="C496" s="4">
        <v>3502008</v>
      </c>
      <c r="D496" s="2" t="s">
        <v>470</v>
      </c>
      <c r="E496" s="2" t="s">
        <v>470</v>
      </c>
      <c r="G496" s="1" t="str">
        <f>LEFT(الصنف[[#This Row],[تصنيف فرعي (2)]],4)</f>
        <v>3502</v>
      </c>
      <c r="H496" s="5" t="s">
        <v>1033</v>
      </c>
      <c r="I496" s="5" t="str">
        <f>LEFT(الصنف[[#This Row],[تصنيف فرعي (1)]],2)</f>
        <v>35</v>
      </c>
      <c r="J496" s="1" t="s">
        <v>901</v>
      </c>
      <c r="K496" s="1">
        <f>VLOOKUP(الصنف[[#This Row],[وحده القياس]],$S$4:$T$67,2,TRUE)</f>
        <v>43</v>
      </c>
      <c r="L496" s="1" t="s">
        <v>742</v>
      </c>
      <c r="M496" s="1">
        <v>1</v>
      </c>
      <c r="N496" s="6" t="s">
        <v>742</v>
      </c>
      <c r="O496" s="7"/>
      <c r="P496" s="9">
        <f>IF(الصنف[[#This Row],[وحده المكونات]]="جرام",1,0)</f>
        <v>0</v>
      </c>
    </row>
    <row r="497" spans="2:16" ht="20.100000000000001" customHeight="1" x14ac:dyDescent="0.2">
      <c r="B497" s="4">
        <v>495</v>
      </c>
      <c r="C497" s="4">
        <v>3502009</v>
      </c>
      <c r="D497" s="2" t="s">
        <v>1055</v>
      </c>
      <c r="E497" s="2" t="s">
        <v>617</v>
      </c>
      <c r="G497" s="1" t="str">
        <f>LEFT(الصنف[[#This Row],[تصنيف فرعي (2)]],4)</f>
        <v>3502</v>
      </c>
      <c r="H497" s="5" t="s">
        <v>1033</v>
      </c>
      <c r="I497" s="5" t="str">
        <f>LEFT(الصنف[[#This Row],[تصنيف فرعي (1)]],2)</f>
        <v>35</v>
      </c>
      <c r="J497" s="1" t="s">
        <v>901</v>
      </c>
      <c r="K497" s="1">
        <f>VLOOKUP(الصنف[[#This Row],[وحده القياس]],$S$4:$T$67,2,TRUE)</f>
        <v>43</v>
      </c>
      <c r="L497" s="1" t="s">
        <v>742</v>
      </c>
      <c r="M497" s="1">
        <v>1</v>
      </c>
      <c r="N497" s="6" t="s">
        <v>742</v>
      </c>
      <c r="O497" s="7"/>
      <c r="P497" s="9">
        <f>IF(الصنف[[#This Row],[وحده المكونات]]="جرام",1,0)</f>
        <v>0</v>
      </c>
    </row>
    <row r="498" spans="2:16" ht="20.100000000000001" customHeight="1" x14ac:dyDescent="0.2">
      <c r="B498" s="4">
        <v>496</v>
      </c>
      <c r="C498" s="4">
        <v>3502010</v>
      </c>
      <c r="D498" s="2" t="s">
        <v>471</v>
      </c>
      <c r="E498" s="2" t="s">
        <v>471</v>
      </c>
      <c r="G498" s="1" t="str">
        <f>LEFT(الصنف[[#This Row],[تصنيف فرعي (2)]],4)</f>
        <v>3502</v>
      </c>
      <c r="H498" s="5" t="s">
        <v>1033</v>
      </c>
      <c r="I498" s="5" t="str">
        <f>LEFT(الصنف[[#This Row],[تصنيف فرعي (1)]],2)</f>
        <v>35</v>
      </c>
      <c r="J498" s="1" t="s">
        <v>901</v>
      </c>
      <c r="K498" s="1">
        <f>VLOOKUP(الصنف[[#This Row],[وحده القياس]],$S$4:$T$67,2,TRUE)</f>
        <v>43</v>
      </c>
      <c r="L498" s="1" t="s">
        <v>742</v>
      </c>
      <c r="M498" s="1">
        <v>1</v>
      </c>
      <c r="N498" s="6" t="s">
        <v>742</v>
      </c>
      <c r="O498" s="7"/>
      <c r="P498" s="9">
        <f>IF(الصنف[[#This Row],[وحده المكونات]]="جرام",1,0)</f>
        <v>0</v>
      </c>
    </row>
    <row r="499" spans="2:16" ht="20.100000000000001" customHeight="1" x14ac:dyDescent="0.2">
      <c r="B499" s="4">
        <v>497</v>
      </c>
      <c r="C499" s="4">
        <v>3502011</v>
      </c>
      <c r="D499" s="2" t="s">
        <v>472</v>
      </c>
      <c r="E499" s="2" t="s">
        <v>472</v>
      </c>
      <c r="G499" s="1" t="str">
        <f>LEFT(الصنف[[#This Row],[تصنيف فرعي (2)]],4)</f>
        <v>3502</v>
      </c>
      <c r="H499" s="5" t="s">
        <v>1033</v>
      </c>
      <c r="I499" s="5" t="str">
        <f>LEFT(الصنف[[#This Row],[تصنيف فرعي (1)]],2)</f>
        <v>35</v>
      </c>
      <c r="J499" s="1" t="s">
        <v>901</v>
      </c>
      <c r="K499" s="1">
        <f>VLOOKUP(الصنف[[#This Row],[وحده القياس]],$S$4:$T$67,2,TRUE)</f>
        <v>43</v>
      </c>
      <c r="L499" s="1" t="s">
        <v>742</v>
      </c>
      <c r="M499" s="1">
        <v>1</v>
      </c>
      <c r="N499" s="6" t="s">
        <v>742</v>
      </c>
      <c r="O499" s="7"/>
      <c r="P499" s="9">
        <f>IF(الصنف[[#This Row],[وحده المكونات]]="جرام",1,0)</f>
        <v>0</v>
      </c>
    </row>
    <row r="500" spans="2:16" ht="20.100000000000001" customHeight="1" x14ac:dyDescent="0.2">
      <c r="B500" s="4">
        <v>498</v>
      </c>
      <c r="C500" s="4">
        <v>3502012</v>
      </c>
      <c r="D500" s="2" t="s">
        <v>206</v>
      </c>
      <c r="E500" s="2" t="s">
        <v>206</v>
      </c>
      <c r="G500" s="1" t="str">
        <f>LEFT(الصنف[[#This Row],[تصنيف فرعي (2)]],4)</f>
        <v>3502</v>
      </c>
      <c r="H500" s="5" t="s">
        <v>1033</v>
      </c>
      <c r="I500" s="5" t="str">
        <f>LEFT(الصنف[[#This Row],[تصنيف فرعي (1)]],2)</f>
        <v>35</v>
      </c>
      <c r="J500" s="1" t="s">
        <v>901</v>
      </c>
      <c r="K500" s="1">
        <f>VLOOKUP(الصنف[[#This Row],[وحده القياس]],$S$4:$T$67,2,TRUE)</f>
        <v>43</v>
      </c>
      <c r="L500" s="1" t="s">
        <v>742</v>
      </c>
      <c r="M500" s="1">
        <v>1</v>
      </c>
      <c r="N500" s="6" t="s">
        <v>742</v>
      </c>
      <c r="O500" s="7"/>
      <c r="P500" s="9">
        <f>IF(الصنف[[#This Row],[وحده المكونات]]="جرام",1,0)</f>
        <v>0</v>
      </c>
    </row>
    <row r="501" spans="2:16" ht="20.100000000000001" customHeight="1" x14ac:dyDescent="0.2">
      <c r="B501" s="4">
        <v>499</v>
      </c>
      <c r="C501" s="4">
        <v>3502013</v>
      </c>
      <c r="D501" s="2" t="s">
        <v>481</v>
      </c>
      <c r="E501" s="2" t="s">
        <v>481</v>
      </c>
      <c r="G501" s="1" t="str">
        <f>LEFT(الصنف[[#This Row],[تصنيف فرعي (2)]],4)</f>
        <v>3502</v>
      </c>
      <c r="H501" s="5" t="s">
        <v>1033</v>
      </c>
      <c r="I501" s="5" t="str">
        <f>LEFT(الصنف[[#This Row],[تصنيف فرعي (1)]],2)</f>
        <v>35</v>
      </c>
      <c r="J501" s="1" t="s">
        <v>901</v>
      </c>
      <c r="K501" s="1">
        <f>VLOOKUP(الصنف[[#This Row],[وحده القياس]],$S$4:$T$67,2,TRUE)</f>
        <v>43</v>
      </c>
      <c r="L501" s="1" t="s">
        <v>742</v>
      </c>
      <c r="M501" s="1">
        <v>1</v>
      </c>
      <c r="N501" s="6" t="s">
        <v>742</v>
      </c>
      <c r="O501" s="7"/>
      <c r="P501" s="9">
        <f>IF(الصنف[[#This Row],[وحده المكونات]]="جرام",1,0)</f>
        <v>0</v>
      </c>
    </row>
    <row r="502" spans="2:16" ht="20.100000000000001" customHeight="1" x14ac:dyDescent="0.2">
      <c r="B502" s="4">
        <v>500</v>
      </c>
      <c r="C502" s="4">
        <v>3502014</v>
      </c>
      <c r="D502" s="2" t="s">
        <v>185</v>
      </c>
      <c r="E502" s="2" t="s">
        <v>185</v>
      </c>
      <c r="G502" s="1" t="str">
        <f>LEFT(الصنف[[#This Row],[تصنيف فرعي (2)]],4)</f>
        <v>3502</v>
      </c>
      <c r="H502" s="5" t="s">
        <v>1033</v>
      </c>
      <c r="I502" s="5" t="str">
        <f>LEFT(الصنف[[#This Row],[تصنيف فرعي (1)]],2)</f>
        <v>35</v>
      </c>
      <c r="J502" s="1" t="s">
        <v>901</v>
      </c>
      <c r="K502" s="1">
        <f>VLOOKUP(الصنف[[#This Row],[وحده القياس]],$S$4:$T$67,2,TRUE)</f>
        <v>43</v>
      </c>
      <c r="L502" s="1" t="s">
        <v>742</v>
      </c>
      <c r="M502" s="1">
        <v>1</v>
      </c>
      <c r="N502" s="6" t="s">
        <v>742</v>
      </c>
      <c r="O502" s="7"/>
      <c r="P502" s="9">
        <f>IF(الصنف[[#This Row],[وحده المكونات]]="جرام",1,0)</f>
        <v>0</v>
      </c>
    </row>
    <row r="503" spans="2:16" ht="20.100000000000001" customHeight="1" x14ac:dyDescent="0.2">
      <c r="B503" s="4">
        <v>501</v>
      </c>
      <c r="C503" s="4">
        <v>3502015</v>
      </c>
      <c r="D503" s="2" t="s">
        <v>728</v>
      </c>
      <c r="E503" s="2" t="s">
        <v>728</v>
      </c>
      <c r="G503" s="1" t="str">
        <f>LEFT(الصنف[[#This Row],[تصنيف فرعي (2)]],4)</f>
        <v>3502</v>
      </c>
      <c r="H503" s="5" t="s">
        <v>1033</v>
      </c>
      <c r="I503" s="5" t="str">
        <f>LEFT(الصنف[[#This Row],[تصنيف فرعي (1)]],2)</f>
        <v>35</v>
      </c>
      <c r="J503" s="1" t="s">
        <v>901</v>
      </c>
      <c r="K503" s="1">
        <f>VLOOKUP(الصنف[[#This Row],[وحده القياس]],$S$4:$T$67,2,TRUE)</f>
        <v>43</v>
      </c>
      <c r="L503" s="1" t="s">
        <v>742</v>
      </c>
      <c r="M503" s="1">
        <v>1</v>
      </c>
      <c r="N503" s="6" t="s">
        <v>742</v>
      </c>
      <c r="O503" s="7"/>
      <c r="P503" s="9">
        <f>IF(الصنف[[#This Row],[وحده المكونات]]="جرام",1,0)</f>
        <v>0</v>
      </c>
    </row>
    <row r="504" spans="2:16" ht="20.100000000000001" customHeight="1" x14ac:dyDescent="0.2">
      <c r="B504" s="4">
        <v>502</v>
      </c>
      <c r="C504" s="4">
        <v>3502016</v>
      </c>
      <c r="D504" s="2" t="s">
        <v>729</v>
      </c>
      <c r="E504" s="2" t="s">
        <v>729</v>
      </c>
      <c r="G504" s="1" t="str">
        <f>LEFT(الصنف[[#This Row],[تصنيف فرعي (2)]],4)</f>
        <v>3502</v>
      </c>
      <c r="H504" s="5" t="s">
        <v>1033</v>
      </c>
      <c r="I504" s="5" t="str">
        <f>LEFT(الصنف[[#This Row],[تصنيف فرعي (1)]],2)</f>
        <v>35</v>
      </c>
      <c r="J504" s="1" t="s">
        <v>901</v>
      </c>
      <c r="K504" s="1">
        <f>VLOOKUP(الصنف[[#This Row],[وحده القياس]],$S$4:$T$67,2,TRUE)</f>
        <v>43</v>
      </c>
      <c r="L504" s="1" t="s">
        <v>742</v>
      </c>
      <c r="M504" s="1">
        <v>1</v>
      </c>
      <c r="N504" s="6" t="s">
        <v>742</v>
      </c>
      <c r="O504" s="7"/>
      <c r="P504" s="9">
        <f>IF(الصنف[[#This Row],[وحده المكونات]]="جرام",1,0)</f>
        <v>0</v>
      </c>
    </row>
    <row r="505" spans="2:16" ht="20.100000000000001" customHeight="1" x14ac:dyDescent="0.2">
      <c r="B505" s="4">
        <v>503</v>
      </c>
      <c r="C505" s="4">
        <v>3502017</v>
      </c>
      <c r="D505" s="2" t="s">
        <v>730</v>
      </c>
      <c r="E505" s="2" t="s">
        <v>730</v>
      </c>
      <c r="G505" s="1" t="str">
        <f>LEFT(الصنف[[#This Row],[تصنيف فرعي (2)]],4)</f>
        <v>3502</v>
      </c>
      <c r="H505" s="5" t="s">
        <v>1033</v>
      </c>
      <c r="I505" s="5" t="str">
        <f>LEFT(الصنف[[#This Row],[تصنيف فرعي (1)]],2)</f>
        <v>35</v>
      </c>
      <c r="J505" s="1" t="s">
        <v>901</v>
      </c>
      <c r="K505" s="1">
        <f>VLOOKUP(الصنف[[#This Row],[وحده القياس]],$S$4:$T$67,2,TRUE)</f>
        <v>43</v>
      </c>
      <c r="L505" s="1" t="s">
        <v>742</v>
      </c>
      <c r="M505" s="1">
        <v>1</v>
      </c>
      <c r="N505" s="6" t="s">
        <v>742</v>
      </c>
      <c r="O505" s="7"/>
      <c r="P505" s="9">
        <f>IF(الصنف[[#This Row],[وحده المكونات]]="جرام",1,0)</f>
        <v>0</v>
      </c>
    </row>
    <row r="506" spans="2:16" ht="20.100000000000001" customHeight="1" x14ac:dyDescent="0.2">
      <c r="B506" s="4">
        <v>504</v>
      </c>
      <c r="C506" s="4">
        <v>3502018</v>
      </c>
      <c r="D506" s="2" t="s">
        <v>731</v>
      </c>
      <c r="E506" s="2" t="s">
        <v>731</v>
      </c>
      <c r="G506" s="1" t="str">
        <f>LEFT(الصنف[[#This Row],[تصنيف فرعي (2)]],4)</f>
        <v>3502</v>
      </c>
      <c r="H506" s="5" t="s">
        <v>1033</v>
      </c>
      <c r="I506" s="5" t="str">
        <f>LEFT(الصنف[[#This Row],[تصنيف فرعي (1)]],2)</f>
        <v>35</v>
      </c>
      <c r="J506" s="1" t="s">
        <v>901</v>
      </c>
      <c r="K506" s="1">
        <f>VLOOKUP(الصنف[[#This Row],[وحده القياس]],$S$4:$T$67,2,TRUE)</f>
        <v>43</v>
      </c>
      <c r="L506" s="1" t="s">
        <v>742</v>
      </c>
      <c r="M506" s="1">
        <v>1</v>
      </c>
      <c r="N506" s="6" t="s">
        <v>742</v>
      </c>
      <c r="O506" s="7"/>
      <c r="P506" s="9">
        <f>IF(الصنف[[#This Row],[وحده المكونات]]="جرام",1,0)</f>
        <v>0</v>
      </c>
    </row>
    <row r="507" spans="2:16" ht="20.100000000000001" customHeight="1" x14ac:dyDescent="0.2">
      <c r="B507" s="4">
        <v>505</v>
      </c>
      <c r="C507" s="4">
        <v>3502019</v>
      </c>
      <c r="D507" s="2" t="s">
        <v>732</v>
      </c>
      <c r="E507" s="2" t="s">
        <v>732</v>
      </c>
      <c r="G507" s="1" t="str">
        <f>LEFT(الصنف[[#This Row],[تصنيف فرعي (2)]],4)</f>
        <v>3502</v>
      </c>
      <c r="H507" s="5" t="s">
        <v>1033</v>
      </c>
      <c r="I507" s="5" t="str">
        <f>LEFT(الصنف[[#This Row],[تصنيف فرعي (1)]],2)</f>
        <v>35</v>
      </c>
      <c r="J507" s="1" t="s">
        <v>901</v>
      </c>
      <c r="K507" s="1">
        <f>VLOOKUP(الصنف[[#This Row],[وحده القياس]],$S$4:$T$67,2,TRUE)</f>
        <v>43</v>
      </c>
      <c r="L507" s="1" t="s">
        <v>742</v>
      </c>
      <c r="M507" s="1">
        <v>1</v>
      </c>
      <c r="N507" s="6" t="s">
        <v>742</v>
      </c>
      <c r="O507" s="7"/>
      <c r="P507" s="9">
        <f>IF(الصنف[[#This Row],[وحده المكونات]]="جرام",1,0)</f>
        <v>0</v>
      </c>
    </row>
    <row r="508" spans="2:16" ht="20.100000000000001" customHeight="1" x14ac:dyDescent="0.2">
      <c r="B508" s="4">
        <v>506</v>
      </c>
      <c r="C508" s="4">
        <v>3502020</v>
      </c>
      <c r="D508" s="2" t="s">
        <v>364</v>
      </c>
      <c r="E508" s="2" t="s">
        <v>364</v>
      </c>
      <c r="G508" s="1" t="str">
        <f>LEFT(الصنف[[#This Row],[تصنيف فرعي (2)]],4)</f>
        <v>3502</v>
      </c>
      <c r="H508" s="5" t="s">
        <v>1033</v>
      </c>
      <c r="I508" s="5" t="str">
        <f>LEFT(الصنف[[#This Row],[تصنيف فرعي (1)]],2)</f>
        <v>35</v>
      </c>
      <c r="J508" s="1" t="s">
        <v>901</v>
      </c>
      <c r="K508" s="1">
        <f>VLOOKUP(الصنف[[#This Row],[وحده القياس]],$S$4:$T$67,2,TRUE)</f>
        <v>43</v>
      </c>
      <c r="L508" s="1" t="s">
        <v>742</v>
      </c>
      <c r="M508" s="1">
        <v>1</v>
      </c>
      <c r="N508" s="6" t="s">
        <v>742</v>
      </c>
      <c r="O508" s="7"/>
      <c r="P508" s="9">
        <f>IF(الصنف[[#This Row],[وحده المكونات]]="جرام",1,0)</f>
        <v>0</v>
      </c>
    </row>
    <row r="509" spans="2:16" ht="20.100000000000001" customHeight="1" x14ac:dyDescent="0.2">
      <c r="B509" s="4">
        <v>507</v>
      </c>
      <c r="C509" s="4">
        <v>3502021</v>
      </c>
      <c r="D509" s="2" t="s">
        <v>797</v>
      </c>
      <c r="E509" s="2" t="s">
        <v>726</v>
      </c>
      <c r="G509" s="1" t="str">
        <f>LEFT(الصنف[[#This Row],[تصنيف فرعي (2)]],4)</f>
        <v>3502</v>
      </c>
      <c r="H509" s="5" t="s">
        <v>1033</v>
      </c>
      <c r="I509" s="5" t="str">
        <f>LEFT(الصنف[[#This Row],[تصنيف فرعي (1)]],2)</f>
        <v>35</v>
      </c>
      <c r="J509" s="1" t="s">
        <v>901</v>
      </c>
      <c r="K509" s="1">
        <f>VLOOKUP(الصنف[[#This Row],[وحده القياس]],$S$4:$T$67,2,TRUE)</f>
        <v>43</v>
      </c>
      <c r="L509" s="1" t="s">
        <v>742</v>
      </c>
      <c r="M509" s="1">
        <v>1</v>
      </c>
      <c r="N509" s="6" t="s">
        <v>742</v>
      </c>
      <c r="O509" s="7"/>
      <c r="P509" s="9">
        <f>IF(الصنف[[#This Row],[وحده المكونات]]="جرام",1,0)</f>
        <v>0</v>
      </c>
    </row>
    <row r="510" spans="2:16" ht="20.100000000000001" customHeight="1" x14ac:dyDescent="0.2">
      <c r="B510" s="4">
        <v>508</v>
      </c>
      <c r="C510" s="4">
        <v>3502022</v>
      </c>
      <c r="D510" s="2" t="s">
        <v>798</v>
      </c>
      <c r="E510" s="2" t="s">
        <v>727</v>
      </c>
      <c r="G510" s="1" t="str">
        <f>LEFT(الصنف[[#This Row],[تصنيف فرعي (2)]],4)</f>
        <v>3502</v>
      </c>
      <c r="H510" s="5" t="s">
        <v>1033</v>
      </c>
      <c r="I510" s="5" t="str">
        <f>LEFT(الصنف[[#This Row],[تصنيف فرعي (1)]],2)</f>
        <v>35</v>
      </c>
      <c r="J510" s="1" t="s">
        <v>901</v>
      </c>
      <c r="K510" s="1">
        <f>VLOOKUP(الصنف[[#This Row],[وحده القياس]],$S$4:$T$67,2,TRUE)</f>
        <v>43</v>
      </c>
      <c r="L510" s="1" t="s">
        <v>742</v>
      </c>
      <c r="M510" s="1">
        <v>1</v>
      </c>
      <c r="N510" s="6" t="s">
        <v>742</v>
      </c>
      <c r="O510" s="7"/>
      <c r="P510" s="9">
        <f>IF(الصنف[[#This Row],[وحده المكونات]]="جرام",1,0)</f>
        <v>0</v>
      </c>
    </row>
    <row r="511" spans="2:16" ht="20.100000000000001" customHeight="1" x14ac:dyDescent="0.2">
      <c r="B511" s="4">
        <v>509</v>
      </c>
      <c r="C511" s="4">
        <v>3502023</v>
      </c>
      <c r="D511" s="2" t="s">
        <v>592</v>
      </c>
      <c r="E511" s="2" t="s">
        <v>592</v>
      </c>
      <c r="G511" s="1" t="str">
        <f>LEFT(الصنف[[#This Row],[تصنيف فرعي (2)]],4)</f>
        <v>3502</v>
      </c>
      <c r="H511" s="5" t="s">
        <v>1033</v>
      </c>
      <c r="I511" s="5" t="str">
        <f>LEFT(الصنف[[#This Row],[تصنيف فرعي (1)]],2)</f>
        <v>35</v>
      </c>
      <c r="J511" s="1" t="s">
        <v>901</v>
      </c>
      <c r="K511" s="1">
        <f>VLOOKUP(الصنف[[#This Row],[وحده القياس]],$S$4:$T$67,2,TRUE)</f>
        <v>43</v>
      </c>
      <c r="L511" s="1" t="s">
        <v>742</v>
      </c>
      <c r="M511" s="1">
        <v>1</v>
      </c>
      <c r="N511" s="6" t="s">
        <v>742</v>
      </c>
      <c r="O511" s="7"/>
      <c r="P511" s="9">
        <f>IF(الصنف[[#This Row],[وحده المكونات]]="جرام",1,0)</f>
        <v>0</v>
      </c>
    </row>
    <row r="512" spans="2:16" ht="20.100000000000001" customHeight="1" x14ac:dyDescent="0.2">
      <c r="B512" s="4">
        <v>510</v>
      </c>
      <c r="C512" s="4">
        <v>3502024</v>
      </c>
      <c r="D512" s="2" t="s">
        <v>648</v>
      </c>
      <c r="E512" s="2" t="s">
        <v>648</v>
      </c>
      <c r="G512" s="1" t="str">
        <f>LEFT(الصنف[[#This Row],[تصنيف فرعي (2)]],4)</f>
        <v>3502</v>
      </c>
      <c r="H512" s="5" t="s">
        <v>1033</v>
      </c>
      <c r="I512" s="5" t="str">
        <f>LEFT(الصنف[[#This Row],[تصنيف فرعي (1)]],2)</f>
        <v>35</v>
      </c>
      <c r="J512" s="1" t="s">
        <v>901</v>
      </c>
      <c r="K512" s="1">
        <f>VLOOKUP(الصنف[[#This Row],[وحده القياس]],$S$4:$T$67,2,TRUE)</f>
        <v>43</v>
      </c>
      <c r="L512" s="1" t="s">
        <v>742</v>
      </c>
      <c r="M512" s="1">
        <v>1</v>
      </c>
      <c r="N512" s="6" t="s">
        <v>742</v>
      </c>
      <c r="O512" s="7"/>
      <c r="P512" s="9">
        <f>IF(الصنف[[#This Row],[وحده المكونات]]="جرام",1,0)</f>
        <v>0</v>
      </c>
    </row>
    <row r="513" spans="2:16" ht="20.100000000000001" customHeight="1" x14ac:dyDescent="0.2">
      <c r="B513" s="4">
        <v>511</v>
      </c>
      <c r="C513" s="4">
        <v>3502025</v>
      </c>
      <c r="D513" s="2" t="s">
        <v>292</v>
      </c>
      <c r="E513" s="2" t="s">
        <v>292</v>
      </c>
      <c r="G513" s="1" t="str">
        <f>LEFT(الصنف[[#This Row],[تصنيف فرعي (2)]],4)</f>
        <v>3502</v>
      </c>
      <c r="H513" s="5" t="s">
        <v>1033</v>
      </c>
      <c r="I513" s="5" t="str">
        <f>LEFT(الصنف[[#This Row],[تصنيف فرعي (1)]],2)</f>
        <v>35</v>
      </c>
      <c r="J513" s="1" t="s">
        <v>901</v>
      </c>
      <c r="K513" s="1">
        <f>VLOOKUP(الصنف[[#This Row],[وحده القياس]],$S$4:$T$67,2,TRUE)</f>
        <v>43</v>
      </c>
      <c r="L513" s="1" t="s">
        <v>742</v>
      </c>
      <c r="M513" s="1">
        <v>1</v>
      </c>
      <c r="N513" s="6" t="s">
        <v>742</v>
      </c>
      <c r="O513" s="7"/>
      <c r="P513" s="9">
        <f>IF(الصنف[[#This Row],[وحده المكونات]]="جرام",1,0)</f>
        <v>0</v>
      </c>
    </row>
    <row r="514" spans="2:16" ht="20.100000000000001" customHeight="1" x14ac:dyDescent="0.2">
      <c r="B514" s="4">
        <v>512</v>
      </c>
      <c r="C514" s="4">
        <v>3502026</v>
      </c>
      <c r="D514" s="2" t="s">
        <v>454</v>
      </c>
      <c r="E514" s="2" t="s">
        <v>454</v>
      </c>
      <c r="G514" s="1" t="str">
        <f>LEFT(الصنف[[#This Row],[تصنيف فرعي (2)]],4)</f>
        <v>3502</v>
      </c>
      <c r="H514" s="5" t="s">
        <v>1033</v>
      </c>
      <c r="I514" s="5" t="str">
        <f>LEFT(الصنف[[#This Row],[تصنيف فرعي (1)]],2)</f>
        <v>35</v>
      </c>
      <c r="J514" s="1" t="s">
        <v>901</v>
      </c>
      <c r="K514" s="1">
        <f>VLOOKUP(الصنف[[#This Row],[وحده القياس]],$S$4:$T$67,2,TRUE)</f>
        <v>43</v>
      </c>
      <c r="L514" s="1" t="s">
        <v>742</v>
      </c>
      <c r="M514" s="1">
        <v>1</v>
      </c>
      <c r="N514" s="6" t="s">
        <v>742</v>
      </c>
      <c r="O514" s="7"/>
      <c r="P514" s="9">
        <f>IF(الصنف[[#This Row],[وحده المكونات]]="جرام",1,0)</f>
        <v>0</v>
      </c>
    </row>
    <row r="515" spans="2:16" ht="20.100000000000001" customHeight="1" x14ac:dyDescent="0.2">
      <c r="B515" s="4">
        <v>513</v>
      </c>
      <c r="C515" s="4">
        <v>3502027</v>
      </c>
      <c r="D515" s="2" t="s">
        <v>725</v>
      </c>
      <c r="E515" s="2" t="s">
        <v>725</v>
      </c>
      <c r="G515" s="1" t="str">
        <f>LEFT(الصنف[[#This Row],[تصنيف فرعي (2)]],4)</f>
        <v>3502</v>
      </c>
      <c r="H515" s="5" t="s">
        <v>1033</v>
      </c>
      <c r="I515" s="5" t="str">
        <f>LEFT(الصنف[[#This Row],[تصنيف فرعي (1)]],2)</f>
        <v>35</v>
      </c>
      <c r="J515" s="1" t="s">
        <v>901</v>
      </c>
      <c r="K515" s="1">
        <f>VLOOKUP(الصنف[[#This Row],[وحده القياس]],$S$4:$T$67,2,TRUE)</f>
        <v>43</v>
      </c>
      <c r="L515" s="1" t="s">
        <v>742</v>
      </c>
      <c r="M515" s="1">
        <v>1</v>
      </c>
      <c r="N515" s="6" t="s">
        <v>742</v>
      </c>
      <c r="O515" s="7"/>
      <c r="P515" s="9">
        <f>IF(الصنف[[#This Row],[وحده المكونات]]="جرام",1,0)</f>
        <v>0</v>
      </c>
    </row>
    <row r="516" spans="2:16" ht="20.100000000000001" customHeight="1" x14ac:dyDescent="0.2">
      <c r="B516" s="4">
        <v>514</v>
      </c>
      <c r="C516" s="4">
        <v>3502028</v>
      </c>
      <c r="D516" s="2" t="s">
        <v>724</v>
      </c>
      <c r="E516" s="2" t="s">
        <v>724</v>
      </c>
      <c r="G516" s="1" t="str">
        <f>LEFT(الصنف[[#This Row],[تصنيف فرعي (2)]],4)</f>
        <v>3502</v>
      </c>
      <c r="H516" s="5" t="s">
        <v>1033</v>
      </c>
      <c r="I516" s="5" t="str">
        <f>LEFT(الصنف[[#This Row],[تصنيف فرعي (1)]],2)</f>
        <v>35</v>
      </c>
      <c r="J516" s="1" t="s">
        <v>901</v>
      </c>
      <c r="K516" s="1">
        <f>VLOOKUP(الصنف[[#This Row],[وحده القياس]],$S$4:$T$67,2,TRUE)</f>
        <v>43</v>
      </c>
      <c r="L516" s="1" t="s">
        <v>742</v>
      </c>
      <c r="M516" s="1">
        <v>1</v>
      </c>
      <c r="N516" s="6" t="s">
        <v>742</v>
      </c>
      <c r="O516" s="7"/>
      <c r="P516" s="9">
        <f>IF(الصنف[[#This Row],[وحده المكونات]]="جرام",1,0)</f>
        <v>0</v>
      </c>
    </row>
    <row r="517" spans="2:16" ht="20.100000000000001" customHeight="1" x14ac:dyDescent="0.2">
      <c r="B517" s="4">
        <v>515</v>
      </c>
      <c r="C517" s="4">
        <v>3502029</v>
      </c>
      <c r="D517" s="2" t="s">
        <v>531</v>
      </c>
      <c r="E517" s="2" t="s">
        <v>531</v>
      </c>
      <c r="G517" s="1" t="str">
        <f>LEFT(الصنف[[#This Row],[تصنيف فرعي (2)]],4)</f>
        <v>3502</v>
      </c>
      <c r="H517" s="5" t="s">
        <v>1033</v>
      </c>
      <c r="I517" s="5" t="str">
        <f>LEFT(الصنف[[#This Row],[تصنيف فرعي (1)]],2)</f>
        <v>35</v>
      </c>
      <c r="J517" s="1" t="s">
        <v>901</v>
      </c>
      <c r="K517" s="1">
        <f>VLOOKUP(الصنف[[#This Row],[وحده القياس]],$S$4:$T$67,2,TRUE)</f>
        <v>43</v>
      </c>
      <c r="L517" s="1" t="s">
        <v>742</v>
      </c>
      <c r="M517" s="1">
        <v>1</v>
      </c>
      <c r="N517" s="6" t="s">
        <v>742</v>
      </c>
      <c r="O517" s="7"/>
      <c r="P517" s="9">
        <f>IF(الصنف[[#This Row],[وحده المكونات]]="جرام",1,0)</f>
        <v>0</v>
      </c>
    </row>
    <row r="518" spans="2:16" ht="20.100000000000001" customHeight="1" x14ac:dyDescent="0.2">
      <c r="B518" s="4">
        <v>516</v>
      </c>
      <c r="C518" s="4">
        <v>3502030</v>
      </c>
      <c r="D518" s="2" t="s">
        <v>149</v>
      </c>
      <c r="E518" s="2" t="s">
        <v>149</v>
      </c>
      <c r="G518" s="1" t="str">
        <f>LEFT(الصنف[[#This Row],[تصنيف فرعي (2)]],4)</f>
        <v>3502</v>
      </c>
      <c r="H518" s="5" t="s">
        <v>1033</v>
      </c>
      <c r="I518" s="5" t="str">
        <f>LEFT(الصنف[[#This Row],[تصنيف فرعي (1)]],2)</f>
        <v>35</v>
      </c>
      <c r="J518" s="1" t="s">
        <v>901</v>
      </c>
      <c r="K518" s="1">
        <f>VLOOKUP(الصنف[[#This Row],[وحده القياس]],$S$4:$T$67,2,TRUE)</f>
        <v>43</v>
      </c>
      <c r="L518" s="1" t="s">
        <v>742</v>
      </c>
      <c r="M518" s="1">
        <v>1</v>
      </c>
      <c r="N518" s="6" t="s">
        <v>742</v>
      </c>
      <c r="O518" s="7"/>
      <c r="P518" s="9">
        <f>IF(الصنف[[#This Row],[وحده المكونات]]="جرام",1,0)</f>
        <v>0</v>
      </c>
    </row>
    <row r="519" spans="2:16" ht="20.100000000000001" customHeight="1" x14ac:dyDescent="0.2">
      <c r="B519" s="4">
        <v>517</v>
      </c>
      <c r="C519" s="4">
        <v>3502031</v>
      </c>
      <c r="D519" s="2" t="s">
        <v>149</v>
      </c>
      <c r="E519" s="2" t="s">
        <v>149</v>
      </c>
      <c r="G519" s="1" t="str">
        <f>LEFT(الصنف[[#This Row],[تصنيف فرعي (2)]],4)</f>
        <v>3502</v>
      </c>
      <c r="H519" s="5" t="s">
        <v>1033</v>
      </c>
      <c r="I519" s="5" t="str">
        <f>LEFT(الصنف[[#This Row],[تصنيف فرعي (1)]],2)</f>
        <v>35</v>
      </c>
      <c r="J519" s="1" t="s">
        <v>901</v>
      </c>
      <c r="K519" s="1">
        <f>VLOOKUP(الصنف[[#This Row],[وحده القياس]],$S$4:$T$67,2,TRUE)</f>
        <v>43</v>
      </c>
      <c r="L519" s="1" t="s">
        <v>742</v>
      </c>
      <c r="M519" s="1">
        <v>1</v>
      </c>
      <c r="N519" s="6" t="s">
        <v>742</v>
      </c>
      <c r="O519" s="7"/>
      <c r="P519" s="9">
        <f>IF(الصنف[[#This Row],[وحده المكونات]]="جرام",1,0)</f>
        <v>0</v>
      </c>
    </row>
    <row r="520" spans="2:16" ht="20.100000000000001" customHeight="1" x14ac:dyDescent="0.2">
      <c r="B520" s="4">
        <v>518</v>
      </c>
      <c r="C520" s="4">
        <v>3502032</v>
      </c>
      <c r="D520" s="2" t="s">
        <v>148</v>
      </c>
      <c r="E520" s="2" t="s">
        <v>148</v>
      </c>
      <c r="G520" s="1" t="str">
        <f>LEFT(الصنف[[#This Row],[تصنيف فرعي (2)]],4)</f>
        <v>3502</v>
      </c>
      <c r="H520" s="5" t="s">
        <v>1033</v>
      </c>
      <c r="I520" s="5" t="str">
        <f>LEFT(الصنف[[#This Row],[تصنيف فرعي (1)]],2)</f>
        <v>35</v>
      </c>
      <c r="J520" s="1" t="s">
        <v>901</v>
      </c>
      <c r="K520" s="1">
        <f>VLOOKUP(الصنف[[#This Row],[وحده القياس]],$S$4:$T$67,2,TRUE)</f>
        <v>43</v>
      </c>
      <c r="L520" s="1" t="s">
        <v>742</v>
      </c>
      <c r="M520" s="1">
        <v>1</v>
      </c>
      <c r="N520" s="6" t="s">
        <v>742</v>
      </c>
      <c r="O520" s="7"/>
      <c r="P520" s="9">
        <f>IF(الصنف[[#This Row],[وحده المكونات]]="جرام",1,0)</f>
        <v>0</v>
      </c>
    </row>
    <row r="521" spans="2:16" ht="20.100000000000001" customHeight="1" x14ac:dyDescent="0.2">
      <c r="B521" s="4">
        <v>519</v>
      </c>
      <c r="C521" s="4">
        <v>3502033</v>
      </c>
      <c r="D521" s="2" t="s">
        <v>799</v>
      </c>
      <c r="E521" s="2" t="s">
        <v>723</v>
      </c>
      <c r="G521" s="1" t="str">
        <f>LEFT(الصنف[[#This Row],[تصنيف فرعي (2)]],4)</f>
        <v>3502</v>
      </c>
      <c r="H521" s="5" t="s">
        <v>1033</v>
      </c>
      <c r="I521" s="5" t="str">
        <f>LEFT(الصنف[[#This Row],[تصنيف فرعي (1)]],2)</f>
        <v>35</v>
      </c>
      <c r="J521" s="1" t="s">
        <v>901</v>
      </c>
      <c r="K521" s="1">
        <f>VLOOKUP(الصنف[[#This Row],[وحده القياس]],$S$4:$T$67,2,TRUE)</f>
        <v>43</v>
      </c>
      <c r="L521" s="1" t="s">
        <v>742</v>
      </c>
      <c r="M521" s="1">
        <v>1</v>
      </c>
      <c r="N521" s="6" t="s">
        <v>742</v>
      </c>
      <c r="O521" s="7"/>
      <c r="P521" s="9">
        <f>IF(الصنف[[#This Row],[وحده المكونات]]="جرام",1,0)</f>
        <v>0</v>
      </c>
    </row>
    <row r="522" spans="2:16" ht="20.100000000000001" customHeight="1" x14ac:dyDescent="0.2">
      <c r="B522" s="4">
        <v>520</v>
      </c>
      <c r="C522" s="4">
        <v>3502034</v>
      </c>
      <c r="D522" s="2" t="s">
        <v>800</v>
      </c>
      <c r="E522" s="2" t="s">
        <v>722</v>
      </c>
      <c r="G522" s="1" t="str">
        <f>LEFT(الصنف[[#This Row],[تصنيف فرعي (2)]],4)</f>
        <v>3502</v>
      </c>
      <c r="H522" s="5" t="s">
        <v>1033</v>
      </c>
      <c r="I522" s="5" t="str">
        <f>LEFT(الصنف[[#This Row],[تصنيف فرعي (1)]],2)</f>
        <v>35</v>
      </c>
      <c r="J522" s="1" t="s">
        <v>901</v>
      </c>
      <c r="K522" s="1">
        <f>VLOOKUP(الصنف[[#This Row],[وحده القياس]],$S$4:$T$67,2,TRUE)</f>
        <v>43</v>
      </c>
      <c r="L522" s="1" t="s">
        <v>742</v>
      </c>
      <c r="M522" s="1">
        <v>1</v>
      </c>
      <c r="N522" s="6" t="s">
        <v>742</v>
      </c>
      <c r="O522" s="7"/>
      <c r="P522" s="9">
        <f>IF(الصنف[[#This Row],[وحده المكونات]]="جرام",1,0)</f>
        <v>0</v>
      </c>
    </row>
    <row r="523" spans="2:16" ht="20.100000000000001" customHeight="1" x14ac:dyDescent="0.2">
      <c r="B523" s="4">
        <v>521</v>
      </c>
      <c r="C523" s="4">
        <v>3502035</v>
      </c>
      <c r="D523" s="2" t="s">
        <v>709</v>
      </c>
      <c r="E523" s="2" t="s">
        <v>709</v>
      </c>
      <c r="G523" s="1" t="str">
        <f>LEFT(الصنف[[#This Row],[تصنيف فرعي (2)]],4)</f>
        <v>3502</v>
      </c>
      <c r="H523" s="5" t="s">
        <v>1033</v>
      </c>
      <c r="I523" s="5" t="str">
        <f>LEFT(الصنف[[#This Row],[تصنيف فرعي (1)]],2)</f>
        <v>35</v>
      </c>
      <c r="J523" s="1" t="s">
        <v>901</v>
      </c>
      <c r="K523" s="1">
        <f>VLOOKUP(الصنف[[#This Row],[وحده القياس]],$S$4:$T$67,2,TRUE)</f>
        <v>43</v>
      </c>
      <c r="L523" s="1" t="s">
        <v>742</v>
      </c>
      <c r="M523" s="1">
        <v>1</v>
      </c>
      <c r="N523" s="6" t="s">
        <v>742</v>
      </c>
      <c r="O523" s="7"/>
      <c r="P523" s="9">
        <f>IF(الصنف[[#This Row],[وحده المكونات]]="جرام",1,0)</f>
        <v>0</v>
      </c>
    </row>
    <row r="524" spans="2:16" ht="20.100000000000001" customHeight="1" x14ac:dyDescent="0.2">
      <c r="B524" s="4">
        <v>522</v>
      </c>
      <c r="C524" s="4">
        <v>3502036</v>
      </c>
      <c r="D524" s="2" t="s">
        <v>710</v>
      </c>
      <c r="E524" s="2" t="s">
        <v>710</v>
      </c>
      <c r="G524" s="1" t="str">
        <f>LEFT(الصنف[[#This Row],[تصنيف فرعي (2)]],4)</f>
        <v>3502</v>
      </c>
      <c r="H524" s="5" t="s">
        <v>1033</v>
      </c>
      <c r="I524" s="5" t="str">
        <f>LEFT(الصنف[[#This Row],[تصنيف فرعي (1)]],2)</f>
        <v>35</v>
      </c>
      <c r="J524" s="1" t="s">
        <v>901</v>
      </c>
      <c r="K524" s="1">
        <f>VLOOKUP(الصنف[[#This Row],[وحده القياس]],$S$4:$T$67,2,TRUE)</f>
        <v>43</v>
      </c>
      <c r="L524" s="1" t="s">
        <v>742</v>
      </c>
      <c r="M524" s="1">
        <v>1</v>
      </c>
      <c r="N524" s="6" t="s">
        <v>742</v>
      </c>
      <c r="O524" s="7"/>
      <c r="P524" s="9">
        <f>IF(الصنف[[#This Row],[وحده المكونات]]="جرام",1,0)</f>
        <v>0</v>
      </c>
    </row>
    <row r="525" spans="2:16" ht="20.100000000000001" customHeight="1" x14ac:dyDescent="0.2">
      <c r="B525" s="4">
        <v>523</v>
      </c>
      <c r="C525" s="4">
        <v>3502037</v>
      </c>
      <c r="D525" s="2" t="s">
        <v>774</v>
      </c>
      <c r="E525" s="2" t="s">
        <v>575</v>
      </c>
      <c r="G525" s="1" t="str">
        <f>LEFT(الصنف[[#This Row],[تصنيف فرعي (2)]],4)</f>
        <v>3502</v>
      </c>
      <c r="H525" s="5" t="s">
        <v>1033</v>
      </c>
      <c r="I525" s="5" t="str">
        <f>LEFT(الصنف[[#This Row],[تصنيف فرعي (1)]],2)</f>
        <v>35</v>
      </c>
      <c r="J525" s="1" t="s">
        <v>901</v>
      </c>
      <c r="K525" s="1">
        <f>VLOOKUP(الصنف[[#This Row],[وحده القياس]],$S$4:$T$67,2,TRUE)</f>
        <v>43</v>
      </c>
      <c r="L525" s="1" t="s">
        <v>742</v>
      </c>
      <c r="M525" s="1">
        <v>1</v>
      </c>
      <c r="N525" s="6" t="s">
        <v>742</v>
      </c>
      <c r="O525" s="7"/>
      <c r="P525" s="9">
        <f>IF(الصنف[[#This Row],[وحده المكونات]]="جرام",1,0)</f>
        <v>0</v>
      </c>
    </row>
    <row r="526" spans="2:16" ht="20.100000000000001" customHeight="1" x14ac:dyDescent="0.2">
      <c r="B526" s="4">
        <v>524</v>
      </c>
      <c r="C526" s="4">
        <v>3502038</v>
      </c>
      <c r="D526" s="2" t="s">
        <v>574</v>
      </c>
      <c r="E526" s="2" t="s">
        <v>574</v>
      </c>
      <c r="G526" s="1" t="str">
        <f>LEFT(الصنف[[#This Row],[تصنيف فرعي (2)]],4)</f>
        <v>3502</v>
      </c>
      <c r="H526" s="5" t="s">
        <v>1033</v>
      </c>
      <c r="I526" s="5" t="str">
        <f>LEFT(الصنف[[#This Row],[تصنيف فرعي (1)]],2)</f>
        <v>35</v>
      </c>
      <c r="J526" s="1" t="s">
        <v>901</v>
      </c>
      <c r="K526" s="1">
        <f>VLOOKUP(الصنف[[#This Row],[وحده القياس]],$S$4:$T$67,2,TRUE)</f>
        <v>43</v>
      </c>
      <c r="L526" s="1" t="s">
        <v>742</v>
      </c>
      <c r="M526" s="1">
        <v>1</v>
      </c>
      <c r="N526" s="6" t="s">
        <v>742</v>
      </c>
      <c r="O526" s="7"/>
      <c r="P526" s="9">
        <f>IF(الصنف[[#This Row],[وحده المكونات]]="جرام",1,0)</f>
        <v>0</v>
      </c>
    </row>
    <row r="527" spans="2:16" ht="20.100000000000001" customHeight="1" x14ac:dyDescent="0.2">
      <c r="B527" s="4">
        <v>525</v>
      </c>
      <c r="C527" s="4">
        <v>3502039</v>
      </c>
      <c r="D527" s="2" t="s">
        <v>290</v>
      </c>
      <c r="E527" s="2" t="s">
        <v>290</v>
      </c>
      <c r="G527" s="1" t="str">
        <f>LEFT(الصنف[[#This Row],[تصنيف فرعي (2)]],4)</f>
        <v>3502</v>
      </c>
      <c r="H527" s="5" t="s">
        <v>1033</v>
      </c>
      <c r="I527" s="5" t="str">
        <f>LEFT(الصنف[[#This Row],[تصنيف فرعي (1)]],2)</f>
        <v>35</v>
      </c>
      <c r="J527" s="1" t="s">
        <v>901</v>
      </c>
      <c r="K527" s="1">
        <f>VLOOKUP(الصنف[[#This Row],[وحده القياس]],$S$4:$T$67,2,TRUE)</f>
        <v>43</v>
      </c>
      <c r="L527" s="1" t="s">
        <v>742</v>
      </c>
      <c r="M527" s="1">
        <v>1</v>
      </c>
      <c r="N527" s="6" t="s">
        <v>742</v>
      </c>
      <c r="O527" s="7"/>
      <c r="P527" s="9">
        <f>IF(الصنف[[#This Row],[وحده المكونات]]="جرام",1,0)</f>
        <v>0</v>
      </c>
    </row>
    <row r="528" spans="2:16" ht="20.100000000000001" customHeight="1" x14ac:dyDescent="0.2">
      <c r="B528" s="4">
        <v>526</v>
      </c>
      <c r="C528" s="4">
        <v>3502040</v>
      </c>
      <c r="D528" s="2" t="s">
        <v>290</v>
      </c>
      <c r="E528" s="2" t="s">
        <v>290</v>
      </c>
      <c r="G528" s="1" t="str">
        <f>LEFT(الصنف[[#This Row],[تصنيف فرعي (2)]],4)</f>
        <v>3502</v>
      </c>
      <c r="H528" s="5" t="s">
        <v>1033</v>
      </c>
      <c r="I528" s="5" t="str">
        <f>LEFT(الصنف[[#This Row],[تصنيف فرعي (1)]],2)</f>
        <v>35</v>
      </c>
      <c r="J528" s="1" t="s">
        <v>901</v>
      </c>
      <c r="K528" s="1">
        <f>VLOOKUP(الصنف[[#This Row],[وحده القياس]],$S$4:$T$67,2,TRUE)</f>
        <v>43</v>
      </c>
      <c r="L528" s="1" t="s">
        <v>742</v>
      </c>
      <c r="M528" s="1">
        <v>1</v>
      </c>
      <c r="N528" s="6" t="s">
        <v>742</v>
      </c>
      <c r="O528" s="7"/>
      <c r="P528" s="9">
        <f>IF(الصنف[[#This Row],[وحده المكونات]]="جرام",1,0)</f>
        <v>0</v>
      </c>
    </row>
    <row r="529" spans="2:16" ht="20.100000000000001" customHeight="1" x14ac:dyDescent="0.2">
      <c r="B529" s="4">
        <v>527</v>
      </c>
      <c r="C529" s="4">
        <v>3502041</v>
      </c>
      <c r="D529" s="2" t="s">
        <v>720</v>
      </c>
      <c r="E529" s="2" t="s">
        <v>720</v>
      </c>
      <c r="G529" s="1" t="str">
        <f>LEFT(الصنف[[#This Row],[تصنيف فرعي (2)]],4)</f>
        <v>3502</v>
      </c>
      <c r="H529" s="5" t="s">
        <v>1033</v>
      </c>
      <c r="I529" s="5" t="str">
        <f>LEFT(الصنف[[#This Row],[تصنيف فرعي (1)]],2)</f>
        <v>35</v>
      </c>
      <c r="J529" s="1" t="s">
        <v>901</v>
      </c>
      <c r="K529" s="1">
        <f>VLOOKUP(الصنف[[#This Row],[وحده القياس]],$S$4:$T$67,2,TRUE)</f>
        <v>43</v>
      </c>
      <c r="L529" s="1" t="s">
        <v>742</v>
      </c>
      <c r="M529" s="1">
        <v>1</v>
      </c>
      <c r="N529" s="6" t="s">
        <v>742</v>
      </c>
      <c r="O529" s="7"/>
      <c r="P529" s="9">
        <f>IF(الصنف[[#This Row],[وحده المكونات]]="جرام",1,0)</f>
        <v>0</v>
      </c>
    </row>
    <row r="530" spans="2:16" ht="20.100000000000001" customHeight="1" x14ac:dyDescent="0.2">
      <c r="B530" s="4">
        <v>528</v>
      </c>
      <c r="C530" s="4">
        <v>3502042</v>
      </c>
      <c r="D530" s="2" t="s">
        <v>721</v>
      </c>
      <c r="E530" s="2" t="s">
        <v>721</v>
      </c>
      <c r="G530" s="1" t="str">
        <f>LEFT(الصنف[[#This Row],[تصنيف فرعي (2)]],4)</f>
        <v>3502</v>
      </c>
      <c r="H530" s="5" t="s">
        <v>1033</v>
      </c>
      <c r="I530" s="5" t="str">
        <f>LEFT(الصنف[[#This Row],[تصنيف فرعي (1)]],2)</f>
        <v>35</v>
      </c>
      <c r="J530" s="1" t="s">
        <v>901</v>
      </c>
      <c r="K530" s="1">
        <f>VLOOKUP(الصنف[[#This Row],[وحده القياس]],$S$4:$T$67,2,TRUE)</f>
        <v>43</v>
      </c>
      <c r="L530" s="1" t="s">
        <v>742</v>
      </c>
      <c r="M530" s="1">
        <v>1</v>
      </c>
      <c r="N530" s="6" t="s">
        <v>742</v>
      </c>
      <c r="O530" s="7"/>
      <c r="P530" s="9">
        <f>IF(الصنف[[#This Row],[وحده المكونات]]="جرام",1,0)</f>
        <v>0</v>
      </c>
    </row>
    <row r="531" spans="2:16" ht="20.100000000000001" customHeight="1" x14ac:dyDescent="0.2">
      <c r="B531" s="4">
        <v>529</v>
      </c>
      <c r="C531" s="4">
        <v>3502043</v>
      </c>
      <c r="D531" s="2" t="s">
        <v>721</v>
      </c>
      <c r="E531" s="2" t="s">
        <v>721</v>
      </c>
      <c r="G531" s="1" t="str">
        <f>LEFT(الصنف[[#This Row],[تصنيف فرعي (2)]],4)</f>
        <v>3502</v>
      </c>
      <c r="H531" s="5" t="s">
        <v>1033</v>
      </c>
      <c r="I531" s="5" t="str">
        <f>LEFT(الصنف[[#This Row],[تصنيف فرعي (1)]],2)</f>
        <v>35</v>
      </c>
      <c r="J531" s="1" t="s">
        <v>901</v>
      </c>
      <c r="K531" s="1">
        <f>VLOOKUP(الصنف[[#This Row],[وحده القياس]],$S$4:$T$67,2,TRUE)</f>
        <v>43</v>
      </c>
      <c r="L531" s="1" t="s">
        <v>742</v>
      </c>
      <c r="M531" s="1">
        <v>1</v>
      </c>
      <c r="N531" s="6" t="s">
        <v>742</v>
      </c>
      <c r="O531" s="7"/>
      <c r="P531" s="9">
        <f>IF(الصنف[[#This Row],[وحده المكونات]]="جرام",1,0)</f>
        <v>0</v>
      </c>
    </row>
    <row r="532" spans="2:16" ht="20.100000000000001" customHeight="1" x14ac:dyDescent="0.2">
      <c r="B532" s="4">
        <v>530</v>
      </c>
      <c r="C532" s="4">
        <v>3502044</v>
      </c>
      <c r="D532" s="2" t="s">
        <v>530</v>
      </c>
      <c r="E532" s="2" t="s">
        <v>530</v>
      </c>
      <c r="G532" s="1" t="str">
        <f>LEFT(الصنف[[#This Row],[تصنيف فرعي (2)]],4)</f>
        <v>3502</v>
      </c>
      <c r="H532" s="5" t="s">
        <v>1033</v>
      </c>
      <c r="I532" s="5" t="str">
        <f>LEFT(الصنف[[#This Row],[تصنيف فرعي (1)]],2)</f>
        <v>35</v>
      </c>
      <c r="J532" s="1" t="s">
        <v>901</v>
      </c>
      <c r="K532" s="1">
        <f>VLOOKUP(الصنف[[#This Row],[وحده القياس]],$S$4:$T$67,2,TRUE)</f>
        <v>43</v>
      </c>
      <c r="L532" s="1" t="s">
        <v>742</v>
      </c>
      <c r="M532" s="1">
        <v>1</v>
      </c>
      <c r="N532" s="6" t="s">
        <v>742</v>
      </c>
      <c r="O532" s="7"/>
      <c r="P532" s="9">
        <f>IF(الصنف[[#This Row],[وحده المكونات]]="جرام",1,0)</f>
        <v>0</v>
      </c>
    </row>
    <row r="533" spans="2:16" ht="20.100000000000001" customHeight="1" x14ac:dyDescent="0.2">
      <c r="B533" s="4">
        <v>531</v>
      </c>
      <c r="C533" s="4">
        <v>3502045</v>
      </c>
      <c r="D533" s="2" t="s">
        <v>147</v>
      </c>
      <c r="E533" s="2" t="s">
        <v>147</v>
      </c>
      <c r="G533" s="1" t="str">
        <f>LEFT(الصنف[[#This Row],[تصنيف فرعي (2)]],4)</f>
        <v>3502</v>
      </c>
      <c r="H533" s="5" t="s">
        <v>1033</v>
      </c>
      <c r="I533" s="5" t="str">
        <f>LEFT(الصنف[[#This Row],[تصنيف فرعي (1)]],2)</f>
        <v>35</v>
      </c>
      <c r="J533" s="1" t="s">
        <v>901</v>
      </c>
      <c r="K533" s="1">
        <f>VLOOKUP(الصنف[[#This Row],[وحده القياس]],$S$4:$T$67,2,TRUE)</f>
        <v>43</v>
      </c>
      <c r="L533" s="1" t="s">
        <v>742</v>
      </c>
      <c r="M533" s="1">
        <v>1</v>
      </c>
      <c r="N533" s="6" t="s">
        <v>742</v>
      </c>
      <c r="O533" s="7"/>
      <c r="P533" s="9">
        <f>IF(الصنف[[#This Row],[وحده المكونات]]="جرام",1,0)</f>
        <v>0</v>
      </c>
    </row>
    <row r="534" spans="2:16" ht="20.100000000000001" customHeight="1" x14ac:dyDescent="0.2">
      <c r="B534" s="4">
        <v>532</v>
      </c>
      <c r="C534" s="4">
        <v>3502046</v>
      </c>
      <c r="D534" s="2" t="s">
        <v>146</v>
      </c>
      <c r="E534" s="2" t="s">
        <v>146</v>
      </c>
      <c r="G534" s="1" t="str">
        <f>LEFT(الصنف[[#This Row],[تصنيف فرعي (2)]],4)</f>
        <v>3502</v>
      </c>
      <c r="H534" s="5" t="s">
        <v>1033</v>
      </c>
      <c r="I534" s="5" t="str">
        <f>LEFT(الصنف[[#This Row],[تصنيف فرعي (1)]],2)</f>
        <v>35</v>
      </c>
      <c r="J534" s="1" t="s">
        <v>901</v>
      </c>
      <c r="K534" s="1">
        <f>VLOOKUP(الصنف[[#This Row],[وحده القياس]],$S$4:$T$67,2,TRUE)</f>
        <v>43</v>
      </c>
      <c r="L534" s="1" t="s">
        <v>742</v>
      </c>
      <c r="M534" s="1">
        <v>1</v>
      </c>
      <c r="N534" s="6" t="s">
        <v>742</v>
      </c>
      <c r="O534" s="7"/>
      <c r="P534" s="9">
        <f>IF(الصنف[[#This Row],[وحده المكونات]]="جرام",1,0)</f>
        <v>0</v>
      </c>
    </row>
    <row r="535" spans="2:16" ht="20.100000000000001" customHeight="1" x14ac:dyDescent="0.2">
      <c r="B535" s="4">
        <v>533</v>
      </c>
      <c r="C535" s="4">
        <v>3502047</v>
      </c>
      <c r="D535" s="2" t="s">
        <v>151</v>
      </c>
      <c r="E535" s="2" t="s">
        <v>151</v>
      </c>
      <c r="G535" s="1" t="str">
        <f>LEFT(الصنف[[#This Row],[تصنيف فرعي (2)]],4)</f>
        <v>3502</v>
      </c>
      <c r="H535" s="5" t="s">
        <v>1033</v>
      </c>
      <c r="I535" s="5" t="str">
        <f>LEFT(الصنف[[#This Row],[تصنيف فرعي (1)]],2)</f>
        <v>35</v>
      </c>
      <c r="J535" s="1" t="s">
        <v>901</v>
      </c>
      <c r="K535" s="1">
        <f>VLOOKUP(الصنف[[#This Row],[وحده القياس]],$S$4:$T$67,2,TRUE)</f>
        <v>43</v>
      </c>
      <c r="L535" s="1" t="s">
        <v>742</v>
      </c>
      <c r="M535" s="1">
        <v>1</v>
      </c>
      <c r="N535" s="6" t="s">
        <v>742</v>
      </c>
      <c r="O535" s="7"/>
      <c r="P535" s="9">
        <f>IF(الصنف[[#This Row],[وحده المكونات]]="جرام",1,0)</f>
        <v>0</v>
      </c>
    </row>
    <row r="536" spans="2:16" ht="20.100000000000001" customHeight="1" x14ac:dyDescent="0.2">
      <c r="B536" s="4">
        <v>534</v>
      </c>
      <c r="C536" s="4">
        <v>3502048</v>
      </c>
      <c r="D536" s="2" t="s">
        <v>772</v>
      </c>
      <c r="E536" s="2" t="s">
        <v>169</v>
      </c>
      <c r="G536" s="1" t="str">
        <f>LEFT(الصنف[[#This Row],[تصنيف فرعي (2)]],4)</f>
        <v>3502</v>
      </c>
      <c r="H536" s="5" t="s">
        <v>1033</v>
      </c>
      <c r="I536" s="5" t="str">
        <f>LEFT(الصنف[[#This Row],[تصنيف فرعي (1)]],2)</f>
        <v>35</v>
      </c>
      <c r="J536" s="1" t="s">
        <v>901</v>
      </c>
      <c r="K536" s="1">
        <f>VLOOKUP(الصنف[[#This Row],[وحده القياس]],$S$4:$T$67,2,TRUE)</f>
        <v>43</v>
      </c>
      <c r="L536" s="1" t="s">
        <v>742</v>
      </c>
      <c r="M536" s="1">
        <v>1</v>
      </c>
      <c r="N536" s="6" t="s">
        <v>742</v>
      </c>
      <c r="O536" s="7"/>
      <c r="P536" s="9">
        <f>IF(الصنف[[#This Row],[وحده المكونات]]="جرام",1,0)</f>
        <v>0</v>
      </c>
    </row>
    <row r="537" spans="2:16" ht="20.100000000000001" customHeight="1" x14ac:dyDescent="0.2">
      <c r="B537" s="4">
        <v>535</v>
      </c>
      <c r="C537" s="4">
        <v>3502049</v>
      </c>
      <c r="D537" s="2" t="s">
        <v>773</v>
      </c>
      <c r="E537" s="2" t="s">
        <v>368</v>
      </c>
      <c r="G537" s="1" t="str">
        <f>LEFT(الصنف[[#This Row],[تصنيف فرعي (2)]],4)</f>
        <v>3502</v>
      </c>
      <c r="H537" s="5" t="s">
        <v>1033</v>
      </c>
      <c r="I537" s="5" t="str">
        <f>LEFT(الصنف[[#This Row],[تصنيف فرعي (1)]],2)</f>
        <v>35</v>
      </c>
      <c r="J537" s="1" t="s">
        <v>901</v>
      </c>
      <c r="K537" s="1">
        <f>VLOOKUP(الصنف[[#This Row],[وحده القياس]],$S$4:$T$67,2,TRUE)</f>
        <v>43</v>
      </c>
      <c r="L537" s="1" t="s">
        <v>742</v>
      </c>
      <c r="M537" s="1">
        <v>1</v>
      </c>
      <c r="N537" s="6" t="s">
        <v>742</v>
      </c>
      <c r="O537" s="7"/>
      <c r="P537" s="9">
        <f>IF(الصنف[[#This Row],[وحده المكونات]]="جرام",1,0)</f>
        <v>0</v>
      </c>
    </row>
    <row r="538" spans="2:16" ht="20.100000000000001" customHeight="1" x14ac:dyDescent="0.2">
      <c r="B538" s="4">
        <v>536</v>
      </c>
      <c r="C538" s="4">
        <v>3502050</v>
      </c>
      <c r="D538" s="2" t="s">
        <v>773</v>
      </c>
      <c r="E538" s="2" t="s">
        <v>643</v>
      </c>
      <c r="G538" s="1" t="str">
        <f>LEFT(الصنف[[#This Row],[تصنيف فرعي (2)]],4)</f>
        <v>3502</v>
      </c>
      <c r="H538" s="5" t="s">
        <v>1033</v>
      </c>
      <c r="I538" s="5" t="str">
        <f>LEFT(الصنف[[#This Row],[تصنيف فرعي (1)]],2)</f>
        <v>35</v>
      </c>
      <c r="J538" s="1" t="s">
        <v>901</v>
      </c>
      <c r="K538" s="1">
        <f>VLOOKUP(الصنف[[#This Row],[وحده القياس]],$S$4:$T$67,2,TRUE)</f>
        <v>43</v>
      </c>
      <c r="L538" s="1" t="s">
        <v>742</v>
      </c>
      <c r="M538" s="1">
        <v>1</v>
      </c>
      <c r="N538" s="6" t="s">
        <v>742</v>
      </c>
      <c r="O538" s="7"/>
      <c r="P538" s="9">
        <f>IF(الصنف[[#This Row],[وحده المكونات]]="جرام",1,0)</f>
        <v>0</v>
      </c>
    </row>
    <row r="539" spans="2:16" ht="20.100000000000001" customHeight="1" x14ac:dyDescent="0.2">
      <c r="B539" s="4">
        <v>537</v>
      </c>
      <c r="C539" s="4">
        <v>3502051</v>
      </c>
      <c r="D539" s="2" t="s">
        <v>801</v>
      </c>
      <c r="E539" s="2" t="s">
        <v>642</v>
      </c>
      <c r="G539" s="1" t="str">
        <f>LEFT(الصنف[[#This Row],[تصنيف فرعي (2)]],4)</f>
        <v>3502</v>
      </c>
      <c r="H539" s="5" t="s">
        <v>1033</v>
      </c>
      <c r="I539" s="5" t="str">
        <f>LEFT(الصنف[[#This Row],[تصنيف فرعي (1)]],2)</f>
        <v>35</v>
      </c>
      <c r="J539" s="1" t="s">
        <v>901</v>
      </c>
      <c r="K539" s="1">
        <f>VLOOKUP(الصنف[[#This Row],[وحده القياس]],$S$4:$T$67,2,TRUE)</f>
        <v>43</v>
      </c>
      <c r="L539" s="1" t="s">
        <v>742</v>
      </c>
      <c r="M539" s="1">
        <v>1</v>
      </c>
      <c r="N539" s="6" t="s">
        <v>742</v>
      </c>
      <c r="O539" s="7"/>
      <c r="P539" s="9">
        <f>IF(الصنف[[#This Row],[وحده المكونات]]="جرام",1,0)</f>
        <v>0</v>
      </c>
    </row>
    <row r="540" spans="2:16" ht="20.100000000000001" customHeight="1" x14ac:dyDescent="0.2">
      <c r="B540" s="4">
        <v>538</v>
      </c>
      <c r="C540" s="4">
        <v>3502052</v>
      </c>
      <c r="D540" s="2" t="s">
        <v>584</v>
      </c>
      <c r="E540" s="2" t="s">
        <v>584</v>
      </c>
      <c r="G540" s="1" t="str">
        <f>LEFT(الصنف[[#This Row],[تصنيف فرعي (2)]],4)</f>
        <v>3502</v>
      </c>
      <c r="H540" s="5" t="s">
        <v>1033</v>
      </c>
      <c r="I540" s="5" t="str">
        <f>LEFT(الصنف[[#This Row],[تصنيف فرعي (1)]],2)</f>
        <v>35</v>
      </c>
      <c r="J540" s="1" t="s">
        <v>901</v>
      </c>
      <c r="K540" s="1">
        <f>VLOOKUP(الصنف[[#This Row],[وحده القياس]],$S$4:$T$67,2,TRUE)</f>
        <v>43</v>
      </c>
      <c r="L540" s="1" t="s">
        <v>742</v>
      </c>
      <c r="M540" s="1">
        <v>1</v>
      </c>
      <c r="N540" s="6" t="s">
        <v>742</v>
      </c>
      <c r="O540" s="7"/>
      <c r="P540" s="9">
        <f>IF(الصنف[[#This Row],[وحده المكونات]]="جرام",1,0)</f>
        <v>0</v>
      </c>
    </row>
    <row r="541" spans="2:16" ht="20.100000000000001" customHeight="1" x14ac:dyDescent="0.2">
      <c r="B541" s="4">
        <v>539</v>
      </c>
      <c r="C541" s="4">
        <v>3502053</v>
      </c>
      <c r="D541" s="2" t="s">
        <v>644</v>
      </c>
      <c r="E541" s="2" t="s">
        <v>644</v>
      </c>
      <c r="G541" s="1" t="str">
        <f>LEFT(الصنف[[#This Row],[تصنيف فرعي (2)]],4)</f>
        <v>3502</v>
      </c>
      <c r="H541" s="5" t="s">
        <v>1033</v>
      </c>
      <c r="I541" s="5" t="str">
        <f>LEFT(الصنف[[#This Row],[تصنيف فرعي (1)]],2)</f>
        <v>35</v>
      </c>
      <c r="J541" s="1" t="s">
        <v>901</v>
      </c>
      <c r="K541" s="1">
        <f>VLOOKUP(الصنف[[#This Row],[وحده القياس]],$S$4:$T$67,2,TRUE)</f>
        <v>43</v>
      </c>
      <c r="L541" s="1" t="s">
        <v>742</v>
      </c>
      <c r="M541" s="1">
        <v>1</v>
      </c>
      <c r="N541" s="6" t="s">
        <v>742</v>
      </c>
      <c r="O541" s="7"/>
      <c r="P541" s="9">
        <f>IF(الصنف[[#This Row],[وحده المكونات]]="جرام",1,0)</f>
        <v>0</v>
      </c>
    </row>
    <row r="542" spans="2:16" ht="20.100000000000001" customHeight="1" x14ac:dyDescent="0.2">
      <c r="B542" s="4">
        <v>540</v>
      </c>
      <c r="C542" s="4">
        <v>3502054</v>
      </c>
      <c r="D542" s="2" t="s">
        <v>583</v>
      </c>
      <c r="E542" s="2" t="s">
        <v>583</v>
      </c>
      <c r="G542" s="1" t="str">
        <f>LEFT(الصنف[[#This Row],[تصنيف فرعي (2)]],4)</f>
        <v>3502</v>
      </c>
      <c r="H542" s="5" t="s">
        <v>1033</v>
      </c>
      <c r="I542" s="5" t="str">
        <f>LEFT(الصنف[[#This Row],[تصنيف فرعي (1)]],2)</f>
        <v>35</v>
      </c>
      <c r="J542" s="1" t="s">
        <v>901</v>
      </c>
      <c r="K542" s="1">
        <f>VLOOKUP(الصنف[[#This Row],[وحده القياس]],$S$4:$T$67,2,TRUE)</f>
        <v>43</v>
      </c>
      <c r="L542" s="1" t="s">
        <v>742</v>
      </c>
      <c r="M542" s="1">
        <v>1</v>
      </c>
      <c r="N542" s="6" t="s">
        <v>742</v>
      </c>
      <c r="O542" s="7"/>
      <c r="P542" s="9">
        <f>IF(الصنف[[#This Row],[وحده المكونات]]="جرام",1,0)</f>
        <v>0</v>
      </c>
    </row>
    <row r="543" spans="2:16" ht="20.100000000000001" customHeight="1" x14ac:dyDescent="0.2">
      <c r="B543" s="4">
        <v>541</v>
      </c>
      <c r="C543" s="4">
        <v>3502055</v>
      </c>
      <c r="D543" s="2" t="s">
        <v>582</v>
      </c>
      <c r="E543" s="2" t="s">
        <v>582</v>
      </c>
      <c r="G543" s="1" t="str">
        <f>LEFT(الصنف[[#This Row],[تصنيف فرعي (2)]],4)</f>
        <v>3502</v>
      </c>
      <c r="H543" s="5" t="s">
        <v>1033</v>
      </c>
      <c r="I543" s="5" t="str">
        <f>LEFT(الصنف[[#This Row],[تصنيف فرعي (1)]],2)</f>
        <v>35</v>
      </c>
      <c r="J543" s="1" t="s">
        <v>901</v>
      </c>
      <c r="K543" s="1">
        <f>VLOOKUP(الصنف[[#This Row],[وحده القياس]],$S$4:$T$67,2,TRUE)</f>
        <v>43</v>
      </c>
      <c r="L543" s="1" t="s">
        <v>742</v>
      </c>
      <c r="M543" s="1">
        <v>1</v>
      </c>
      <c r="N543" s="6" t="s">
        <v>742</v>
      </c>
      <c r="O543" s="7"/>
      <c r="P543" s="9">
        <f>IF(الصنف[[#This Row],[وحده المكونات]]="جرام",1,0)</f>
        <v>0</v>
      </c>
    </row>
    <row r="544" spans="2:16" ht="20.100000000000001" customHeight="1" x14ac:dyDescent="0.2">
      <c r="B544" s="4">
        <v>542</v>
      </c>
      <c r="C544" s="4">
        <v>3502056</v>
      </c>
      <c r="D544" s="2" t="s">
        <v>141</v>
      </c>
      <c r="E544" s="2" t="s">
        <v>141</v>
      </c>
      <c r="G544" s="1" t="str">
        <f>LEFT(الصنف[[#This Row],[تصنيف فرعي (2)]],4)</f>
        <v>3502</v>
      </c>
      <c r="H544" s="5" t="s">
        <v>1033</v>
      </c>
      <c r="I544" s="5" t="str">
        <f>LEFT(الصنف[[#This Row],[تصنيف فرعي (1)]],2)</f>
        <v>35</v>
      </c>
      <c r="J544" s="1" t="s">
        <v>901</v>
      </c>
      <c r="K544" s="1">
        <f>VLOOKUP(الصنف[[#This Row],[وحده القياس]],$S$4:$T$67,2,TRUE)</f>
        <v>43</v>
      </c>
      <c r="L544" s="1" t="s">
        <v>742</v>
      </c>
      <c r="M544" s="1">
        <v>1</v>
      </c>
      <c r="N544" s="6" t="s">
        <v>742</v>
      </c>
      <c r="O544" s="7"/>
      <c r="P544" s="9">
        <f>IF(الصنف[[#This Row],[وحده المكونات]]="جرام",1,0)</f>
        <v>0</v>
      </c>
    </row>
    <row r="545" spans="2:16" ht="20.100000000000001" customHeight="1" x14ac:dyDescent="0.2">
      <c r="B545" s="4">
        <v>543</v>
      </c>
      <c r="C545" s="4">
        <v>3502057</v>
      </c>
      <c r="D545" s="2" t="s">
        <v>1056</v>
      </c>
      <c r="E545" s="2" t="s">
        <v>192</v>
      </c>
      <c r="G545" s="1" t="str">
        <f>LEFT(الصنف[[#This Row],[تصنيف فرعي (2)]],4)</f>
        <v>3502</v>
      </c>
      <c r="H545" s="5" t="s">
        <v>1033</v>
      </c>
      <c r="I545" s="5" t="str">
        <f>LEFT(الصنف[[#This Row],[تصنيف فرعي (1)]],2)</f>
        <v>35</v>
      </c>
      <c r="J545" s="1" t="s">
        <v>901</v>
      </c>
      <c r="K545" s="1">
        <f>VLOOKUP(الصنف[[#This Row],[وحده القياس]],$S$4:$T$67,2,TRUE)</f>
        <v>43</v>
      </c>
      <c r="L545" s="1" t="s">
        <v>742</v>
      </c>
      <c r="M545" s="1">
        <v>1</v>
      </c>
      <c r="N545" s="6" t="s">
        <v>742</v>
      </c>
      <c r="O545" s="7"/>
      <c r="P545" s="9">
        <f>IF(الصنف[[#This Row],[وحده المكونات]]="جرام",1,0)</f>
        <v>0</v>
      </c>
    </row>
    <row r="546" spans="2:16" ht="20.100000000000001" customHeight="1" x14ac:dyDescent="0.2">
      <c r="B546" s="4">
        <v>544</v>
      </c>
      <c r="C546" s="4">
        <v>3502058</v>
      </c>
      <c r="D546" s="2" t="s">
        <v>536</v>
      </c>
      <c r="E546" s="2" t="s">
        <v>536</v>
      </c>
      <c r="G546" s="1" t="str">
        <f>LEFT(الصنف[[#This Row],[تصنيف فرعي (2)]],4)</f>
        <v>3502</v>
      </c>
      <c r="H546" s="5" t="s">
        <v>1033</v>
      </c>
      <c r="I546" s="5" t="str">
        <f>LEFT(الصنف[[#This Row],[تصنيف فرعي (1)]],2)</f>
        <v>35</v>
      </c>
      <c r="J546" s="1" t="s">
        <v>901</v>
      </c>
      <c r="K546" s="1">
        <f>VLOOKUP(الصنف[[#This Row],[وحده القياس]],$S$4:$T$67,2,TRUE)</f>
        <v>43</v>
      </c>
      <c r="L546" s="1" t="s">
        <v>742</v>
      </c>
      <c r="M546" s="1">
        <v>1</v>
      </c>
      <c r="N546" s="6" t="s">
        <v>742</v>
      </c>
      <c r="O546" s="7"/>
      <c r="P546" s="9">
        <f>IF(الصنف[[#This Row],[وحده المكونات]]="جرام",1,0)</f>
        <v>0</v>
      </c>
    </row>
    <row r="547" spans="2:16" ht="20.100000000000001" customHeight="1" x14ac:dyDescent="0.2">
      <c r="B547" s="4">
        <v>545</v>
      </c>
      <c r="C547" s="4">
        <v>3502059</v>
      </c>
      <c r="D547" s="2" t="s">
        <v>537</v>
      </c>
      <c r="E547" s="2" t="s">
        <v>537</v>
      </c>
      <c r="G547" s="1" t="str">
        <f>LEFT(الصنف[[#This Row],[تصنيف فرعي (2)]],4)</f>
        <v>3502</v>
      </c>
      <c r="H547" s="5" t="s">
        <v>1033</v>
      </c>
      <c r="I547" s="5" t="str">
        <f>LEFT(الصنف[[#This Row],[تصنيف فرعي (1)]],2)</f>
        <v>35</v>
      </c>
      <c r="J547" s="1" t="s">
        <v>901</v>
      </c>
      <c r="K547" s="1">
        <f>VLOOKUP(الصنف[[#This Row],[وحده القياس]],$S$4:$T$67,2,TRUE)</f>
        <v>43</v>
      </c>
      <c r="L547" s="1" t="s">
        <v>742</v>
      </c>
      <c r="M547" s="1">
        <v>1</v>
      </c>
      <c r="N547" s="6" t="s">
        <v>742</v>
      </c>
      <c r="O547" s="7"/>
      <c r="P547" s="9">
        <f>IF(الصنف[[#This Row],[وحده المكونات]]="جرام",1,0)</f>
        <v>0</v>
      </c>
    </row>
    <row r="548" spans="2:16" ht="20.100000000000001" customHeight="1" x14ac:dyDescent="0.2">
      <c r="B548" s="4">
        <v>546</v>
      </c>
      <c r="C548" s="4">
        <v>3502060</v>
      </c>
      <c r="D548" s="2" t="s">
        <v>447</v>
      </c>
      <c r="E548" s="2" t="s">
        <v>447</v>
      </c>
      <c r="G548" s="1" t="str">
        <f>LEFT(الصنف[[#This Row],[تصنيف فرعي (2)]],4)</f>
        <v>3502</v>
      </c>
      <c r="H548" s="5" t="s">
        <v>1033</v>
      </c>
      <c r="I548" s="5" t="str">
        <f>LEFT(الصنف[[#This Row],[تصنيف فرعي (1)]],2)</f>
        <v>35</v>
      </c>
      <c r="J548" s="1" t="s">
        <v>901</v>
      </c>
      <c r="K548" s="1">
        <f>VLOOKUP(الصنف[[#This Row],[وحده القياس]],$S$4:$T$67,2,TRUE)</f>
        <v>43</v>
      </c>
      <c r="L548" s="1" t="s">
        <v>742</v>
      </c>
      <c r="M548" s="1">
        <v>1</v>
      </c>
      <c r="N548" s="6" t="s">
        <v>742</v>
      </c>
      <c r="O548" s="7"/>
      <c r="P548" s="9">
        <f>IF(الصنف[[#This Row],[وحده المكونات]]="جرام",1,0)</f>
        <v>0</v>
      </c>
    </row>
    <row r="549" spans="2:16" ht="20.100000000000001" customHeight="1" x14ac:dyDescent="0.2">
      <c r="B549" s="4">
        <v>547</v>
      </c>
      <c r="C549" s="4">
        <v>3502061</v>
      </c>
      <c r="D549" s="2" t="s">
        <v>448</v>
      </c>
      <c r="E549" s="2" t="s">
        <v>448</v>
      </c>
      <c r="G549" s="1" t="str">
        <f>LEFT(الصنف[[#This Row],[تصنيف فرعي (2)]],4)</f>
        <v>3502</v>
      </c>
      <c r="H549" s="5" t="s">
        <v>1033</v>
      </c>
      <c r="I549" s="5" t="str">
        <f>LEFT(الصنف[[#This Row],[تصنيف فرعي (1)]],2)</f>
        <v>35</v>
      </c>
      <c r="J549" s="1" t="s">
        <v>901</v>
      </c>
      <c r="K549" s="1">
        <f>VLOOKUP(الصنف[[#This Row],[وحده القياس]],$S$4:$T$67,2,TRUE)</f>
        <v>43</v>
      </c>
      <c r="L549" s="1" t="s">
        <v>742</v>
      </c>
      <c r="M549" s="1">
        <v>1</v>
      </c>
      <c r="N549" s="6" t="s">
        <v>742</v>
      </c>
      <c r="O549" s="7"/>
      <c r="P549" s="9">
        <f>IF(الصنف[[#This Row],[وحده المكونات]]="جرام",1,0)</f>
        <v>0</v>
      </c>
    </row>
    <row r="550" spans="2:16" ht="20.100000000000001" customHeight="1" x14ac:dyDescent="0.2">
      <c r="B550" s="4">
        <v>548</v>
      </c>
      <c r="C550" s="4">
        <v>3502062</v>
      </c>
      <c r="D550" s="2" t="s">
        <v>449</v>
      </c>
      <c r="E550" s="2" t="s">
        <v>449</v>
      </c>
      <c r="G550" s="1" t="str">
        <f>LEFT(الصنف[[#This Row],[تصنيف فرعي (2)]],4)</f>
        <v>3502</v>
      </c>
      <c r="H550" s="5" t="s">
        <v>1033</v>
      </c>
      <c r="I550" s="5" t="str">
        <f>LEFT(الصنف[[#This Row],[تصنيف فرعي (1)]],2)</f>
        <v>35</v>
      </c>
      <c r="J550" s="1" t="s">
        <v>901</v>
      </c>
      <c r="K550" s="1">
        <f>VLOOKUP(الصنف[[#This Row],[وحده القياس]],$S$4:$T$67,2,TRUE)</f>
        <v>43</v>
      </c>
      <c r="L550" s="1" t="s">
        <v>742</v>
      </c>
      <c r="M550" s="1">
        <v>1</v>
      </c>
      <c r="N550" s="6" t="s">
        <v>742</v>
      </c>
      <c r="O550" s="7"/>
      <c r="P550" s="9">
        <f>IF(الصنف[[#This Row],[وحده المكونات]]="جرام",1,0)</f>
        <v>0</v>
      </c>
    </row>
    <row r="551" spans="2:16" ht="20.100000000000001" customHeight="1" x14ac:dyDescent="0.2">
      <c r="B551" s="4">
        <v>549</v>
      </c>
      <c r="C551" s="4">
        <v>3502063</v>
      </c>
      <c r="D551" s="2" t="s">
        <v>367</v>
      </c>
      <c r="E551" s="2" t="s">
        <v>367</v>
      </c>
      <c r="G551" s="1" t="str">
        <f>LEFT(الصنف[[#This Row],[تصنيف فرعي (2)]],4)</f>
        <v>3502</v>
      </c>
      <c r="H551" s="5" t="s">
        <v>1033</v>
      </c>
      <c r="I551" s="5" t="str">
        <f>LEFT(الصنف[[#This Row],[تصنيف فرعي (1)]],2)</f>
        <v>35</v>
      </c>
      <c r="J551" s="1" t="s">
        <v>901</v>
      </c>
      <c r="K551" s="1">
        <f>VLOOKUP(الصنف[[#This Row],[وحده القياس]],$S$4:$T$67,2,TRUE)</f>
        <v>43</v>
      </c>
      <c r="L551" s="1" t="s">
        <v>742</v>
      </c>
      <c r="M551" s="1">
        <v>1</v>
      </c>
      <c r="N551" s="6" t="s">
        <v>742</v>
      </c>
      <c r="O551" s="7"/>
      <c r="P551" s="9">
        <f>IF(الصنف[[#This Row],[وحده المكونات]]="جرام",1,0)</f>
        <v>0</v>
      </c>
    </row>
    <row r="552" spans="2:16" ht="20.100000000000001" customHeight="1" x14ac:dyDescent="0.2">
      <c r="B552" s="4">
        <v>550</v>
      </c>
      <c r="C552" s="4">
        <v>3502064</v>
      </c>
      <c r="D552" s="2" t="s">
        <v>158</v>
      </c>
      <c r="E552" s="2" t="s">
        <v>158</v>
      </c>
      <c r="G552" s="1" t="str">
        <f>LEFT(الصنف[[#This Row],[تصنيف فرعي (2)]],4)</f>
        <v>3502</v>
      </c>
      <c r="H552" s="5" t="s">
        <v>1033</v>
      </c>
      <c r="I552" s="5" t="str">
        <f>LEFT(الصنف[[#This Row],[تصنيف فرعي (1)]],2)</f>
        <v>35</v>
      </c>
      <c r="J552" s="1" t="s">
        <v>901</v>
      </c>
      <c r="K552" s="1">
        <f>VLOOKUP(الصنف[[#This Row],[وحده القياس]],$S$4:$T$67,2,TRUE)</f>
        <v>43</v>
      </c>
      <c r="L552" s="1" t="s">
        <v>742</v>
      </c>
      <c r="M552" s="1">
        <v>1</v>
      </c>
      <c r="N552" s="6" t="s">
        <v>742</v>
      </c>
      <c r="O552" s="7"/>
      <c r="P552" s="9">
        <f>IF(الصنف[[#This Row],[وحده المكونات]]="جرام",1,0)</f>
        <v>0</v>
      </c>
    </row>
    <row r="553" spans="2:16" ht="20.100000000000001" customHeight="1" x14ac:dyDescent="0.2">
      <c r="B553" s="4">
        <v>551</v>
      </c>
      <c r="C553" s="4">
        <v>3502065</v>
      </c>
      <c r="D553" s="2" t="s">
        <v>172</v>
      </c>
      <c r="E553" s="2" t="s">
        <v>172</v>
      </c>
      <c r="G553" s="1" t="str">
        <f>LEFT(الصنف[[#This Row],[تصنيف فرعي (2)]],4)</f>
        <v>3502</v>
      </c>
      <c r="H553" s="5" t="s">
        <v>1033</v>
      </c>
      <c r="I553" s="5" t="str">
        <f>LEFT(الصنف[[#This Row],[تصنيف فرعي (1)]],2)</f>
        <v>35</v>
      </c>
      <c r="J553" s="1" t="s">
        <v>901</v>
      </c>
      <c r="K553" s="1">
        <f>VLOOKUP(الصنف[[#This Row],[وحده القياس]],$S$4:$T$67,2,TRUE)</f>
        <v>43</v>
      </c>
      <c r="L553" s="1" t="s">
        <v>742</v>
      </c>
      <c r="M553" s="1">
        <v>1</v>
      </c>
      <c r="N553" s="6" t="s">
        <v>742</v>
      </c>
      <c r="O553" s="7"/>
      <c r="P553" s="9">
        <f>IF(الصنف[[#This Row],[وحده المكونات]]="جرام",1,0)</f>
        <v>0</v>
      </c>
    </row>
    <row r="554" spans="2:16" ht="20.100000000000001" customHeight="1" x14ac:dyDescent="0.2">
      <c r="B554" s="4">
        <v>552</v>
      </c>
      <c r="C554" s="4">
        <v>3502066</v>
      </c>
      <c r="D554" s="2" t="s">
        <v>175</v>
      </c>
      <c r="E554" s="2" t="s">
        <v>175</v>
      </c>
      <c r="G554" s="1" t="str">
        <f>LEFT(الصنف[[#This Row],[تصنيف فرعي (2)]],4)</f>
        <v>3502</v>
      </c>
      <c r="H554" s="5" t="s">
        <v>1033</v>
      </c>
      <c r="I554" s="5" t="str">
        <f>LEFT(الصنف[[#This Row],[تصنيف فرعي (1)]],2)</f>
        <v>35</v>
      </c>
      <c r="J554" s="1" t="s">
        <v>901</v>
      </c>
      <c r="K554" s="1">
        <f>VLOOKUP(الصنف[[#This Row],[وحده القياس]],$S$4:$T$67,2,TRUE)</f>
        <v>43</v>
      </c>
      <c r="L554" s="1" t="s">
        <v>742</v>
      </c>
      <c r="M554" s="1">
        <v>1</v>
      </c>
      <c r="N554" s="6" t="s">
        <v>742</v>
      </c>
      <c r="O554" s="7"/>
      <c r="P554" s="9">
        <f>IF(الصنف[[#This Row],[وحده المكونات]]="جرام",1,0)</f>
        <v>0</v>
      </c>
    </row>
    <row r="555" spans="2:16" ht="20.100000000000001" customHeight="1" x14ac:dyDescent="0.2">
      <c r="B555" s="4">
        <v>553</v>
      </c>
      <c r="C555" s="4">
        <v>3502067</v>
      </c>
      <c r="D555" s="2" t="s">
        <v>1057</v>
      </c>
      <c r="E555" s="2" t="s">
        <v>183</v>
      </c>
      <c r="G555" s="1" t="str">
        <f>LEFT(الصنف[[#This Row],[تصنيف فرعي (2)]],4)</f>
        <v>3502</v>
      </c>
      <c r="H555" s="5" t="s">
        <v>1033</v>
      </c>
      <c r="I555" s="5" t="str">
        <f>LEFT(الصنف[[#This Row],[تصنيف فرعي (1)]],2)</f>
        <v>35</v>
      </c>
      <c r="J555" s="1" t="s">
        <v>901</v>
      </c>
      <c r="K555" s="1">
        <f>VLOOKUP(الصنف[[#This Row],[وحده القياس]],$S$4:$T$67,2,TRUE)</f>
        <v>43</v>
      </c>
      <c r="L555" s="1" t="s">
        <v>742</v>
      </c>
      <c r="M555" s="1">
        <v>1</v>
      </c>
      <c r="N555" s="6" t="s">
        <v>742</v>
      </c>
      <c r="O555" s="7"/>
      <c r="P555" s="9">
        <f>IF(الصنف[[#This Row],[وحده المكونات]]="جرام",1,0)</f>
        <v>0</v>
      </c>
    </row>
    <row r="556" spans="2:16" ht="20.100000000000001" customHeight="1" x14ac:dyDescent="0.2">
      <c r="B556" s="4">
        <v>554</v>
      </c>
      <c r="C556" s="4">
        <v>3502068</v>
      </c>
      <c r="D556" s="2" t="s">
        <v>718</v>
      </c>
      <c r="E556" s="2" t="s">
        <v>718</v>
      </c>
      <c r="G556" s="1" t="str">
        <f>LEFT(الصنف[[#This Row],[تصنيف فرعي (2)]],4)</f>
        <v>3502</v>
      </c>
      <c r="H556" s="5" t="s">
        <v>1033</v>
      </c>
      <c r="I556" s="5" t="str">
        <f>LEFT(الصنف[[#This Row],[تصنيف فرعي (1)]],2)</f>
        <v>35</v>
      </c>
      <c r="J556" s="1" t="s">
        <v>901</v>
      </c>
      <c r="K556" s="1">
        <f>VLOOKUP(الصنف[[#This Row],[وحده القياس]],$S$4:$T$67,2,TRUE)</f>
        <v>43</v>
      </c>
      <c r="L556" s="1" t="s">
        <v>742</v>
      </c>
      <c r="M556" s="1">
        <v>1</v>
      </c>
      <c r="N556" s="6" t="s">
        <v>742</v>
      </c>
      <c r="O556" s="7"/>
      <c r="P556" s="9">
        <f>IF(الصنف[[#This Row],[وحده المكونات]]="جرام",1,0)</f>
        <v>0</v>
      </c>
    </row>
    <row r="557" spans="2:16" ht="20.100000000000001" customHeight="1" x14ac:dyDescent="0.2">
      <c r="B557" s="4">
        <v>555</v>
      </c>
      <c r="C557" s="4">
        <v>3502069</v>
      </c>
      <c r="D557" s="2" t="s">
        <v>585</v>
      </c>
      <c r="E557" s="2" t="s">
        <v>585</v>
      </c>
      <c r="G557" s="1" t="str">
        <f>LEFT(الصنف[[#This Row],[تصنيف فرعي (2)]],4)</f>
        <v>3502</v>
      </c>
      <c r="H557" s="5" t="s">
        <v>1033</v>
      </c>
      <c r="I557" s="5" t="str">
        <f>LEFT(الصنف[[#This Row],[تصنيف فرعي (1)]],2)</f>
        <v>35</v>
      </c>
      <c r="J557" s="1" t="s">
        <v>901</v>
      </c>
      <c r="K557" s="1">
        <f>VLOOKUP(الصنف[[#This Row],[وحده القياس]],$S$4:$T$67,2,TRUE)</f>
        <v>43</v>
      </c>
      <c r="L557" s="1" t="s">
        <v>742</v>
      </c>
      <c r="M557" s="1">
        <v>1</v>
      </c>
      <c r="N557" s="6" t="s">
        <v>742</v>
      </c>
      <c r="O557" s="7"/>
      <c r="P557" s="9">
        <f>IF(الصنف[[#This Row],[وحده المكونات]]="جرام",1,0)</f>
        <v>0</v>
      </c>
    </row>
    <row r="558" spans="2:16" ht="20.100000000000001" customHeight="1" x14ac:dyDescent="0.2">
      <c r="B558" s="4">
        <v>556</v>
      </c>
      <c r="C558" s="4">
        <v>3502070</v>
      </c>
      <c r="D558" s="2" t="s">
        <v>586</v>
      </c>
      <c r="E558" s="2" t="s">
        <v>586</v>
      </c>
      <c r="G558" s="1" t="str">
        <f>LEFT(الصنف[[#This Row],[تصنيف فرعي (2)]],4)</f>
        <v>3502</v>
      </c>
      <c r="H558" s="5" t="s">
        <v>1033</v>
      </c>
      <c r="I558" s="5" t="str">
        <f>LEFT(الصنف[[#This Row],[تصنيف فرعي (1)]],2)</f>
        <v>35</v>
      </c>
      <c r="J558" s="1" t="s">
        <v>901</v>
      </c>
      <c r="K558" s="1">
        <f>VLOOKUP(الصنف[[#This Row],[وحده القياس]],$S$4:$T$67,2,TRUE)</f>
        <v>43</v>
      </c>
      <c r="L558" s="1" t="s">
        <v>742</v>
      </c>
      <c r="M558" s="1">
        <v>1</v>
      </c>
      <c r="N558" s="6" t="s">
        <v>742</v>
      </c>
      <c r="O558" s="7"/>
      <c r="P558" s="9">
        <f>IF(الصنف[[#This Row],[وحده المكونات]]="جرام",1,0)</f>
        <v>0</v>
      </c>
    </row>
    <row r="559" spans="2:16" ht="20.100000000000001" customHeight="1" x14ac:dyDescent="0.2">
      <c r="B559" s="4">
        <v>557</v>
      </c>
      <c r="C559" s="4">
        <v>3502071</v>
      </c>
      <c r="D559" s="2" t="s">
        <v>173</v>
      </c>
      <c r="E559" s="2" t="s">
        <v>173</v>
      </c>
      <c r="G559" s="1" t="str">
        <f>LEFT(الصنف[[#This Row],[تصنيف فرعي (2)]],4)</f>
        <v>3502</v>
      </c>
      <c r="H559" s="5" t="s">
        <v>1033</v>
      </c>
      <c r="I559" s="5" t="str">
        <f>LEFT(الصنف[[#This Row],[تصنيف فرعي (1)]],2)</f>
        <v>35</v>
      </c>
      <c r="J559" s="1" t="s">
        <v>901</v>
      </c>
      <c r="K559" s="1">
        <f>VLOOKUP(الصنف[[#This Row],[وحده القياس]],$S$4:$T$67,2,TRUE)</f>
        <v>43</v>
      </c>
      <c r="L559" s="1" t="s">
        <v>742</v>
      </c>
      <c r="M559" s="1">
        <v>1</v>
      </c>
      <c r="N559" s="6" t="s">
        <v>742</v>
      </c>
      <c r="O559" s="7"/>
      <c r="P559" s="9">
        <f>IF(الصنف[[#This Row],[وحده المكونات]]="جرام",1,0)</f>
        <v>0</v>
      </c>
    </row>
    <row r="560" spans="2:16" ht="20.100000000000001" customHeight="1" x14ac:dyDescent="0.2">
      <c r="B560" s="4">
        <v>558</v>
      </c>
      <c r="C560" s="4">
        <v>3502072</v>
      </c>
      <c r="D560" s="2" t="s">
        <v>100</v>
      </c>
      <c r="E560" s="2" t="s">
        <v>100</v>
      </c>
      <c r="G560" s="1" t="str">
        <f>LEFT(الصنف[[#This Row],[تصنيف فرعي (2)]],4)</f>
        <v>3502</v>
      </c>
      <c r="H560" s="5" t="s">
        <v>1033</v>
      </c>
      <c r="I560" s="5" t="str">
        <f>LEFT(الصنف[[#This Row],[تصنيف فرعي (1)]],2)</f>
        <v>35</v>
      </c>
      <c r="J560" s="1" t="s">
        <v>901</v>
      </c>
      <c r="K560" s="1">
        <f>VLOOKUP(الصنف[[#This Row],[وحده القياس]],$S$4:$T$67,2,TRUE)</f>
        <v>43</v>
      </c>
      <c r="L560" s="1" t="s">
        <v>742</v>
      </c>
      <c r="M560" s="1">
        <v>1</v>
      </c>
      <c r="N560" s="6" t="s">
        <v>742</v>
      </c>
      <c r="O560" s="7"/>
      <c r="P560" s="9">
        <f>IF(الصنف[[#This Row],[وحده المكونات]]="جرام",1,0)</f>
        <v>0</v>
      </c>
    </row>
    <row r="561" spans="2:16" ht="20.100000000000001" customHeight="1" x14ac:dyDescent="0.2">
      <c r="B561" s="4">
        <v>559</v>
      </c>
      <c r="C561" s="4">
        <v>3502073</v>
      </c>
      <c r="D561" s="2" t="s">
        <v>802</v>
      </c>
      <c r="E561" s="2" t="s">
        <v>717</v>
      </c>
      <c r="G561" s="1" t="str">
        <f>LEFT(الصنف[[#This Row],[تصنيف فرعي (2)]],4)</f>
        <v>3502</v>
      </c>
      <c r="H561" s="5" t="s">
        <v>1033</v>
      </c>
      <c r="I561" s="5" t="str">
        <f>LEFT(الصنف[[#This Row],[تصنيف فرعي (1)]],2)</f>
        <v>35</v>
      </c>
      <c r="J561" s="1" t="s">
        <v>901</v>
      </c>
      <c r="K561" s="1">
        <f>VLOOKUP(الصنف[[#This Row],[وحده القياس]],$S$4:$T$67,2,TRUE)</f>
        <v>43</v>
      </c>
      <c r="L561" s="1" t="s">
        <v>742</v>
      </c>
      <c r="M561" s="1">
        <v>1</v>
      </c>
      <c r="N561" s="6" t="s">
        <v>742</v>
      </c>
      <c r="O561" s="7"/>
      <c r="P561" s="9">
        <f>IF(الصنف[[#This Row],[وحده المكونات]]="جرام",1,0)</f>
        <v>0</v>
      </c>
    </row>
    <row r="562" spans="2:16" ht="20.100000000000001" customHeight="1" x14ac:dyDescent="0.2">
      <c r="B562" s="4">
        <v>560</v>
      </c>
      <c r="C562" s="4">
        <v>3502074</v>
      </c>
      <c r="D562" s="2" t="s">
        <v>716</v>
      </c>
      <c r="E562" s="2" t="s">
        <v>716</v>
      </c>
      <c r="G562" s="1" t="str">
        <f>LEFT(الصنف[[#This Row],[تصنيف فرعي (2)]],4)</f>
        <v>3502</v>
      </c>
      <c r="H562" s="5" t="s">
        <v>1033</v>
      </c>
      <c r="I562" s="5" t="str">
        <f>LEFT(الصنف[[#This Row],[تصنيف فرعي (1)]],2)</f>
        <v>35</v>
      </c>
      <c r="J562" s="1" t="s">
        <v>901</v>
      </c>
      <c r="K562" s="1">
        <f>VLOOKUP(الصنف[[#This Row],[وحده القياس]],$S$4:$T$67,2,TRUE)</f>
        <v>43</v>
      </c>
      <c r="L562" s="1" t="s">
        <v>742</v>
      </c>
      <c r="M562" s="1">
        <v>1</v>
      </c>
      <c r="N562" s="6" t="s">
        <v>742</v>
      </c>
      <c r="O562" s="7"/>
      <c r="P562" s="9">
        <f>IF(الصنف[[#This Row],[وحده المكونات]]="جرام",1,0)</f>
        <v>0</v>
      </c>
    </row>
    <row r="563" spans="2:16" ht="20.100000000000001" customHeight="1" x14ac:dyDescent="0.2">
      <c r="B563" s="4">
        <v>561</v>
      </c>
      <c r="C563" s="4">
        <v>3502075</v>
      </c>
      <c r="D563" s="2" t="s">
        <v>134</v>
      </c>
      <c r="E563" s="2" t="s">
        <v>134</v>
      </c>
      <c r="G563" s="1" t="str">
        <f>LEFT(الصنف[[#This Row],[تصنيف فرعي (2)]],4)</f>
        <v>3502</v>
      </c>
      <c r="H563" s="5" t="s">
        <v>1033</v>
      </c>
      <c r="I563" s="5" t="str">
        <f>LEFT(الصنف[[#This Row],[تصنيف فرعي (1)]],2)</f>
        <v>35</v>
      </c>
      <c r="J563" s="1" t="s">
        <v>901</v>
      </c>
      <c r="K563" s="1">
        <f>VLOOKUP(الصنف[[#This Row],[وحده القياس]],$S$4:$T$67,2,TRUE)</f>
        <v>43</v>
      </c>
      <c r="L563" s="1" t="s">
        <v>742</v>
      </c>
      <c r="M563" s="1">
        <v>1</v>
      </c>
      <c r="N563" s="6" t="s">
        <v>742</v>
      </c>
      <c r="O563" s="7"/>
      <c r="P563" s="9">
        <f>IF(الصنف[[#This Row],[وحده المكونات]]="جرام",1,0)</f>
        <v>0</v>
      </c>
    </row>
    <row r="564" spans="2:16" ht="20.100000000000001" customHeight="1" x14ac:dyDescent="0.2">
      <c r="B564" s="4">
        <v>562</v>
      </c>
      <c r="C564" s="4">
        <v>3502076</v>
      </c>
      <c r="D564" s="2" t="s">
        <v>135</v>
      </c>
      <c r="E564" s="2" t="s">
        <v>135</v>
      </c>
      <c r="G564" s="1" t="str">
        <f>LEFT(الصنف[[#This Row],[تصنيف فرعي (2)]],4)</f>
        <v>3502</v>
      </c>
      <c r="H564" s="5" t="s">
        <v>1033</v>
      </c>
      <c r="I564" s="5" t="str">
        <f>LEFT(الصنف[[#This Row],[تصنيف فرعي (1)]],2)</f>
        <v>35</v>
      </c>
      <c r="J564" s="1" t="s">
        <v>901</v>
      </c>
      <c r="K564" s="1">
        <f>VLOOKUP(الصنف[[#This Row],[وحده القياس]],$S$4:$T$67,2,TRUE)</f>
        <v>43</v>
      </c>
      <c r="L564" s="1" t="s">
        <v>742</v>
      </c>
      <c r="M564" s="1">
        <v>1</v>
      </c>
      <c r="N564" s="6" t="s">
        <v>742</v>
      </c>
      <c r="O564" s="7"/>
      <c r="P564" s="9">
        <f>IF(الصنف[[#This Row],[وحده المكونات]]="جرام",1,0)</f>
        <v>0</v>
      </c>
    </row>
    <row r="565" spans="2:16" ht="20.100000000000001" customHeight="1" x14ac:dyDescent="0.2">
      <c r="B565" s="4">
        <v>563</v>
      </c>
      <c r="C565" s="4">
        <v>3502077</v>
      </c>
      <c r="D565" s="2" t="s">
        <v>588</v>
      </c>
      <c r="E565" s="2" t="s">
        <v>588</v>
      </c>
      <c r="G565" s="1" t="str">
        <f>LEFT(الصنف[[#This Row],[تصنيف فرعي (2)]],4)</f>
        <v>3502</v>
      </c>
      <c r="H565" s="5" t="s">
        <v>1033</v>
      </c>
      <c r="I565" s="5" t="str">
        <f>LEFT(الصنف[[#This Row],[تصنيف فرعي (1)]],2)</f>
        <v>35</v>
      </c>
      <c r="J565" s="1" t="s">
        <v>901</v>
      </c>
      <c r="K565" s="1">
        <f>VLOOKUP(الصنف[[#This Row],[وحده القياس]],$S$4:$T$67,2,TRUE)</f>
        <v>43</v>
      </c>
      <c r="L565" s="1" t="s">
        <v>742</v>
      </c>
      <c r="M565" s="1">
        <v>1</v>
      </c>
      <c r="N565" s="6" t="s">
        <v>742</v>
      </c>
      <c r="O565" s="7"/>
      <c r="P565" s="9">
        <f>IF(الصنف[[#This Row],[وحده المكونات]]="جرام",1,0)</f>
        <v>0</v>
      </c>
    </row>
    <row r="566" spans="2:16" ht="20.100000000000001" customHeight="1" x14ac:dyDescent="0.2">
      <c r="B566" s="4">
        <v>564</v>
      </c>
      <c r="C566" s="4">
        <v>3502078</v>
      </c>
      <c r="D566" s="2" t="s">
        <v>770</v>
      </c>
      <c r="E566" s="2" t="s">
        <v>589</v>
      </c>
      <c r="G566" s="1" t="str">
        <f>LEFT(الصنف[[#This Row],[تصنيف فرعي (2)]],4)</f>
        <v>3502</v>
      </c>
      <c r="H566" s="5" t="s">
        <v>1033</v>
      </c>
      <c r="I566" s="5" t="str">
        <f>LEFT(الصنف[[#This Row],[تصنيف فرعي (1)]],2)</f>
        <v>35</v>
      </c>
      <c r="J566" s="1" t="s">
        <v>901</v>
      </c>
      <c r="K566" s="1">
        <f>VLOOKUP(الصنف[[#This Row],[وحده القياس]],$S$4:$T$67,2,TRUE)</f>
        <v>43</v>
      </c>
      <c r="L566" s="1" t="s">
        <v>742</v>
      </c>
      <c r="M566" s="1">
        <v>1</v>
      </c>
      <c r="N566" s="6" t="s">
        <v>742</v>
      </c>
      <c r="O566" s="7"/>
      <c r="P566" s="9">
        <f>IF(الصنف[[#This Row],[وحده المكونات]]="جرام",1,0)</f>
        <v>0</v>
      </c>
    </row>
    <row r="567" spans="2:16" ht="20.100000000000001" customHeight="1" x14ac:dyDescent="0.2">
      <c r="B567" s="4">
        <v>565</v>
      </c>
      <c r="C567" s="4">
        <v>3502079</v>
      </c>
      <c r="D567" s="2" t="s">
        <v>771</v>
      </c>
      <c r="E567" s="2" t="s">
        <v>590</v>
      </c>
      <c r="G567" s="1" t="str">
        <f>LEFT(الصنف[[#This Row],[تصنيف فرعي (2)]],4)</f>
        <v>3502</v>
      </c>
      <c r="H567" s="5" t="s">
        <v>1033</v>
      </c>
      <c r="I567" s="5" t="str">
        <f>LEFT(الصنف[[#This Row],[تصنيف فرعي (1)]],2)</f>
        <v>35</v>
      </c>
      <c r="J567" s="1" t="s">
        <v>901</v>
      </c>
      <c r="K567" s="1">
        <f>VLOOKUP(الصنف[[#This Row],[وحده القياس]],$S$4:$T$67,2,TRUE)</f>
        <v>43</v>
      </c>
      <c r="L567" s="1" t="s">
        <v>742</v>
      </c>
      <c r="M567" s="1">
        <v>1</v>
      </c>
      <c r="N567" s="6" t="s">
        <v>742</v>
      </c>
      <c r="O567" s="7"/>
      <c r="P567" s="9">
        <f>IF(الصنف[[#This Row],[وحده المكونات]]="جرام",1,0)</f>
        <v>0</v>
      </c>
    </row>
    <row r="568" spans="2:16" ht="20.100000000000001" customHeight="1" x14ac:dyDescent="0.2">
      <c r="B568" s="4">
        <v>566</v>
      </c>
      <c r="C568" s="4">
        <v>3502080</v>
      </c>
      <c r="D568" s="2" t="s">
        <v>693</v>
      </c>
      <c r="E568" s="2" t="s">
        <v>693</v>
      </c>
      <c r="G568" s="1" t="str">
        <f>LEFT(الصنف[[#This Row],[تصنيف فرعي (2)]],4)</f>
        <v>3502</v>
      </c>
      <c r="H568" s="5" t="s">
        <v>1033</v>
      </c>
      <c r="I568" s="5" t="str">
        <f>LEFT(الصنف[[#This Row],[تصنيف فرعي (1)]],2)</f>
        <v>35</v>
      </c>
      <c r="J568" s="1" t="s">
        <v>901</v>
      </c>
      <c r="K568" s="1">
        <f>VLOOKUP(الصنف[[#This Row],[وحده القياس]],$S$4:$T$67,2,TRUE)</f>
        <v>43</v>
      </c>
      <c r="L568" s="1" t="s">
        <v>742</v>
      </c>
      <c r="M568" s="1">
        <v>1</v>
      </c>
      <c r="N568" s="6" t="s">
        <v>742</v>
      </c>
      <c r="O568" s="7"/>
      <c r="P568" s="9">
        <f>IF(الصنف[[#This Row],[وحده المكونات]]="جرام",1,0)</f>
        <v>0</v>
      </c>
    </row>
    <row r="569" spans="2:16" ht="20.100000000000001" customHeight="1" x14ac:dyDescent="0.2">
      <c r="B569" s="4">
        <v>567</v>
      </c>
      <c r="C569" s="4">
        <v>3502081</v>
      </c>
      <c r="D569" s="2" t="s">
        <v>133</v>
      </c>
      <c r="E569" s="2" t="s">
        <v>133</v>
      </c>
      <c r="G569" s="1" t="str">
        <f>LEFT(الصنف[[#This Row],[تصنيف فرعي (2)]],4)</f>
        <v>3502</v>
      </c>
      <c r="H569" s="5" t="s">
        <v>1033</v>
      </c>
      <c r="I569" s="5" t="str">
        <f>LEFT(الصنف[[#This Row],[تصنيف فرعي (1)]],2)</f>
        <v>35</v>
      </c>
      <c r="J569" s="1" t="s">
        <v>901</v>
      </c>
      <c r="K569" s="1">
        <f>VLOOKUP(الصنف[[#This Row],[وحده القياس]],$S$4:$T$67,2,TRUE)</f>
        <v>43</v>
      </c>
      <c r="L569" s="1" t="s">
        <v>742</v>
      </c>
      <c r="M569" s="1">
        <v>1</v>
      </c>
      <c r="N569" s="6" t="s">
        <v>742</v>
      </c>
      <c r="O569" s="7"/>
      <c r="P569" s="9">
        <f>IF(الصنف[[#This Row],[وحده المكونات]]="جرام",1,0)</f>
        <v>0</v>
      </c>
    </row>
    <row r="570" spans="2:16" ht="20.100000000000001" customHeight="1" x14ac:dyDescent="0.2">
      <c r="B570" s="4">
        <v>568</v>
      </c>
      <c r="C570" s="4">
        <v>3502082</v>
      </c>
      <c r="D570" s="2" t="s">
        <v>102</v>
      </c>
      <c r="E570" s="2" t="s">
        <v>102</v>
      </c>
      <c r="G570" s="1" t="str">
        <f>LEFT(الصنف[[#This Row],[تصنيف فرعي (2)]],4)</f>
        <v>3502</v>
      </c>
      <c r="H570" s="5" t="s">
        <v>1033</v>
      </c>
      <c r="I570" s="5" t="str">
        <f>LEFT(الصنف[[#This Row],[تصنيف فرعي (1)]],2)</f>
        <v>35</v>
      </c>
      <c r="J570" s="1" t="s">
        <v>901</v>
      </c>
      <c r="K570" s="1">
        <f>VLOOKUP(الصنف[[#This Row],[وحده القياس]],$S$4:$T$67,2,TRUE)</f>
        <v>43</v>
      </c>
      <c r="L570" s="1" t="s">
        <v>742</v>
      </c>
      <c r="M570" s="1">
        <v>1</v>
      </c>
      <c r="N570" s="6" t="s">
        <v>742</v>
      </c>
      <c r="O570" s="7"/>
      <c r="P570" s="9">
        <f>IF(الصنف[[#This Row],[وحده المكونات]]="جرام",1,0)</f>
        <v>0</v>
      </c>
    </row>
    <row r="571" spans="2:16" ht="20.100000000000001" customHeight="1" x14ac:dyDescent="0.2">
      <c r="B571" s="4">
        <v>569</v>
      </c>
      <c r="C571" s="4">
        <v>3502083</v>
      </c>
      <c r="D571" s="2" t="s">
        <v>356</v>
      </c>
      <c r="E571" s="2" t="s">
        <v>356</v>
      </c>
      <c r="G571" s="1" t="str">
        <f>LEFT(الصنف[[#This Row],[تصنيف فرعي (2)]],4)</f>
        <v>3502</v>
      </c>
      <c r="H571" s="5" t="s">
        <v>1033</v>
      </c>
      <c r="I571" s="5" t="str">
        <f>LEFT(الصنف[[#This Row],[تصنيف فرعي (1)]],2)</f>
        <v>35</v>
      </c>
      <c r="J571" s="1" t="s">
        <v>901</v>
      </c>
      <c r="K571" s="1">
        <f>VLOOKUP(الصنف[[#This Row],[وحده القياس]],$S$4:$T$67,2,TRUE)</f>
        <v>43</v>
      </c>
      <c r="L571" s="1" t="s">
        <v>742</v>
      </c>
      <c r="M571" s="1">
        <v>1</v>
      </c>
      <c r="N571" s="6" t="s">
        <v>742</v>
      </c>
      <c r="O571" s="7"/>
      <c r="P571" s="9">
        <f>IF(الصنف[[#This Row],[وحده المكونات]]="جرام",1,0)</f>
        <v>0</v>
      </c>
    </row>
    <row r="572" spans="2:16" ht="20.100000000000001" customHeight="1" x14ac:dyDescent="0.2">
      <c r="B572" s="4">
        <v>570</v>
      </c>
      <c r="C572" s="4">
        <v>3502084</v>
      </c>
      <c r="D572" s="2" t="s">
        <v>358</v>
      </c>
      <c r="E572" s="2" t="s">
        <v>358</v>
      </c>
      <c r="G572" s="1" t="str">
        <f>LEFT(الصنف[[#This Row],[تصنيف فرعي (2)]],4)</f>
        <v>3502</v>
      </c>
      <c r="H572" s="5" t="s">
        <v>1033</v>
      </c>
      <c r="I572" s="5" t="str">
        <f>LEFT(الصنف[[#This Row],[تصنيف فرعي (1)]],2)</f>
        <v>35</v>
      </c>
      <c r="J572" s="1" t="s">
        <v>901</v>
      </c>
      <c r="K572" s="1">
        <f>VLOOKUP(الصنف[[#This Row],[وحده القياس]],$S$4:$T$67,2,TRUE)</f>
        <v>43</v>
      </c>
      <c r="L572" s="1" t="s">
        <v>742</v>
      </c>
      <c r="M572" s="1">
        <v>1</v>
      </c>
      <c r="N572" s="6" t="s">
        <v>742</v>
      </c>
      <c r="O572" s="7"/>
      <c r="P572" s="9">
        <f>IF(الصنف[[#This Row],[وحده المكونات]]="جرام",1,0)</f>
        <v>0</v>
      </c>
    </row>
    <row r="573" spans="2:16" ht="20.100000000000001" customHeight="1" x14ac:dyDescent="0.2">
      <c r="B573" s="4">
        <v>571</v>
      </c>
      <c r="C573" s="4">
        <v>3502085</v>
      </c>
      <c r="D573" s="2" t="s">
        <v>357</v>
      </c>
      <c r="E573" s="2" t="s">
        <v>357</v>
      </c>
      <c r="G573" s="1" t="str">
        <f>LEFT(الصنف[[#This Row],[تصنيف فرعي (2)]],4)</f>
        <v>3502</v>
      </c>
      <c r="H573" s="5" t="s">
        <v>1033</v>
      </c>
      <c r="I573" s="5" t="str">
        <f>LEFT(الصنف[[#This Row],[تصنيف فرعي (1)]],2)</f>
        <v>35</v>
      </c>
      <c r="J573" s="1" t="s">
        <v>901</v>
      </c>
      <c r="K573" s="1">
        <f>VLOOKUP(الصنف[[#This Row],[وحده القياس]],$S$4:$T$67,2,TRUE)</f>
        <v>43</v>
      </c>
      <c r="L573" s="1" t="s">
        <v>742</v>
      </c>
      <c r="M573" s="1">
        <v>1</v>
      </c>
      <c r="N573" s="6" t="s">
        <v>742</v>
      </c>
      <c r="O573" s="7"/>
      <c r="P573" s="9">
        <f>IF(الصنف[[#This Row],[وحده المكونات]]="جرام",1,0)</f>
        <v>0</v>
      </c>
    </row>
    <row r="574" spans="2:16" ht="20.100000000000001" customHeight="1" x14ac:dyDescent="0.2">
      <c r="B574" s="4">
        <v>572</v>
      </c>
      <c r="C574" s="4">
        <v>3502086</v>
      </c>
      <c r="D574" s="2" t="s">
        <v>697</v>
      </c>
      <c r="E574" s="2" t="s">
        <v>697</v>
      </c>
      <c r="G574" s="1" t="str">
        <f>LEFT(الصنف[[#This Row],[تصنيف فرعي (2)]],4)</f>
        <v>3502</v>
      </c>
      <c r="H574" s="5" t="s">
        <v>1033</v>
      </c>
      <c r="I574" s="5" t="str">
        <f>LEFT(الصنف[[#This Row],[تصنيف فرعي (1)]],2)</f>
        <v>35</v>
      </c>
      <c r="J574" s="1" t="s">
        <v>901</v>
      </c>
      <c r="K574" s="1">
        <f>VLOOKUP(الصنف[[#This Row],[وحده القياس]],$S$4:$T$67,2,TRUE)</f>
        <v>43</v>
      </c>
      <c r="L574" s="1" t="s">
        <v>742</v>
      </c>
      <c r="M574" s="1">
        <v>1</v>
      </c>
      <c r="N574" s="6" t="s">
        <v>742</v>
      </c>
      <c r="O574" s="7"/>
      <c r="P574" s="9">
        <f>IF(الصنف[[#This Row],[وحده المكونات]]="جرام",1,0)</f>
        <v>0</v>
      </c>
    </row>
    <row r="575" spans="2:16" ht="20.100000000000001" customHeight="1" x14ac:dyDescent="0.2">
      <c r="B575" s="4">
        <v>573</v>
      </c>
      <c r="C575" s="4">
        <v>3502087</v>
      </c>
      <c r="D575" s="2" t="s">
        <v>573</v>
      </c>
      <c r="E575" s="2" t="s">
        <v>573</v>
      </c>
      <c r="G575" s="1" t="str">
        <f>LEFT(الصنف[[#This Row],[تصنيف فرعي (2)]],4)</f>
        <v>3502</v>
      </c>
      <c r="H575" s="5" t="s">
        <v>1033</v>
      </c>
      <c r="I575" s="5" t="str">
        <f>LEFT(الصنف[[#This Row],[تصنيف فرعي (1)]],2)</f>
        <v>35</v>
      </c>
      <c r="J575" s="1" t="s">
        <v>901</v>
      </c>
      <c r="K575" s="1">
        <f>VLOOKUP(الصنف[[#This Row],[وحده القياس]],$S$4:$T$67,2,TRUE)</f>
        <v>43</v>
      </c>
      <c r="L575" s="1" t="s">
        <v>742</v>
      </c>
      <c r="M575" s="1">
        <v>1</v>
      </c>
      <c r="N575" s="6" t="s">
        <v>742</v>
      </c>
      <c r="O575" s="7"/>
      <c r="P575" s="9">
        <f>IF(الصنف[[#This Row],[وحده المكونات]]="جرام",1,0)</f>
        <v>0</v>
      </c>
    </row>
    <row r="576" spans="2:16" ht="20.100000000000001" customHeight="1" x14ac:dyDescent="0.2">
      <c r="B576" s="4">
        <v>574</v>
      </c>
      <c r="C576" s="4">
        <v>3502088</v>
      </c>
      <c r="D576" s="2" t="s">
        <v>698</v>
      </c>
      <c r="E576" s="2" t="s">
        <v>698</v>
      </c>
      <c r="G576" s="1" t="str">
        <f>LEFT(الصنف[[#This Row],[تصنيف فرعي (2)]],4)</f>
        <v>3502</v>
      </c>
      <c r="H576" s="5" t="s">
        <v>1033</v>
      </c>
      <c r="I576" s="5" t="str">
        <f>LEFT(الصنف[[#This Row],[تصنيف فرعي (1)]],2)</f>
        <v>35</v>
      </c>
      <c r="J576" s="1" t="s">
        <v>901</v>
      </c>
      <c r="K576" s="1">
        <f>VLOOKUP(الصنف[[#This Row],[وحده القياس]],$S$4:$T$67,2,TRUE)</f>
        <v>43</v>
      </c>
      <c r="L576" s="1" t="s">
        <v>742</v>
      </c>
      <c r="M576" s="1">
        <v>1</v>
      </c>
      <c r="N576" s="6" t="s">
        <v>742</v>
      </c>
      <c r="O576" s="7"/>
      <c r="P576" s="9">
        <f>IF(الصنف[[#This Row],[وحده المكونات]]="جرام",1,0)</f>
        <v>0</v>
      </c>
    </row>
    <row r="577" spans="2:16" ht="20.100000000000001" customHeight="1" x14ac:dyDescent="0.2">
      <c r="B577" s="4">
        <v>575</v>
      </c>
      <c r="C577" s="4">
        <v>3502089</v>
      </c>
      <c r="D577" s="2" t="s">
        <v>145</v>
      </c>
      <c r="E577" s="2" t="s">
        <v>145</v>
      </c>
      <c r="G577" s="1" t="str">
        <f>LEFT(الصنف[[#This Row],[تصنيف فرعي (2)]],4)</f>
        <v>3502</v>
      </c>
      <c r="H577" s="5" t="s">
        <v>1033</v>
      </c>
      <c r="I577" s="5" t="str">
        <f>LEFT(الصنف[[#This Row],[تصنيف فرعي (1)]],2)</f>
        <v>35</v>
      </c>
      <c r="J577" s="1" t="s">
        <v>901</v>
      </c>
      <c r="K577" s="1">
        <f>VLOOKUP(الصنف[[#This Row],[وحده القياس]],$S$4:$T$67,2,TRUE)</f>
        <v>43</v>
      </c>
      <c r="L577" s="1" t="s">
        <v>742</v>
      </c>
      <c r="M577" s="1">
        <v>1</v>
      </c>
      <c r="N577" s="6" t="s">
        <v>742</v>
      </c>
      <c r="O577" s="7"/>
      <c r="P577" s="9">
        <f>IF(الصنف[[#This Row],[وحده المكونات]]="جرام",1,0)</f>
        <v>0</v>
      </c>
    </row>
    <row r="578" spans="2:16" ht="20.100000000000001" customHeight="1" x14ac:dyDescent="0.2">
      <c r="B578" s="4">
        <v>576</v>
      </c>
      <c r="C578" s="4">
        <v>3502090</v>
      </c>
      <c r="D578" s="2" t="s">
        <v>572</v>
      </c>
      <c r="E578" s="2" t="s">
        <v>572</v>
      </c>
      <c r="G578" s="1" t="str">
        <f>LEFT(الصنف[[#This Row],[تصنيف فرعي (2)]],4)</f>
        <v>3502</v>
      </c>
      <c r="H578" s="5" t="s">
        <v>1033</v>
      </c>
      <c r="I578" s="5" t="str">
        <f>LEFT(الصنف[[#This Row],[تصنيف فرعي (1)]],2)</f>
        <v>35</v>
      </c>
      <c r="J578" s="1" t="s">
        <v>901</v>
      </c>
      <c r="K578" s="1">
        <f>VLOOKUP(الصنف[[#This Row],[وحده القياس]],$S$4:$T$67,2,TRUE)</f>
        <v>43</v>
      </c>
      <c r="L578" s="1" t="s">
        <v>742</v>
      </c>
      <c r="M578" s="1">
        <v>1</v>
      </c>
      <c r="N578" s="6" t="s">
        <v>742</v>
      </c>
      <c r="O578" s="7"/>
      <c r="P578" s="9">
        <f>IF(الصنف[[#This Row],[وحده المكونات]]="جرام",1,0)</f>
        <v>0</v>
      </c>
    </row>
    <row r="579" spans="2:16" ht="20.100000000000001" customHeight="1" x14ac:dyDescent="0.2">
      <c r="B579" s="4">
        <v>577</v>
      </c>
      <c r="C579" s="4">
        <v>3502091</v>
      </c>
      <c r="D579" s="2" t="s">
        <v>157</v>
      </c>
      <c r="E579" s="2" t="s">
        <v>157</v>
      </c>
      <c r="G579" s="1" t="str">
        <f>LEFT(الصنف[[#This Row],[تصنيف فرعي (2)]],4)</f>
        <v>3502</v>
      </c>
      <c r="H579" s="5" t="s">
        <v>1033</v>
      </c>
      <c r="I579" s="5" t="str">
        <f>LEFT(الصنف[[#This Row],[تصنيف فرعي (1)]],2)</f>
        <v>35</v>
      </c>
      <c r="J579" s="1" t="s">
        <v>901</v>
      </c>
      <c r="K579" s="1">
        <f>VLOOKUP(الصنف[[#This Row],[وحده القياس]],$S$4:$T$67,2,TRUE)</f>
        <v>43</v>
      </c>
      <c r="L579" s="1" t="s">
        <v>742</v>
      </c>
      <c r="M579" s="1">
        <v>1</v>
      </c>
      <c r="N579" s="6" t="s">
        <v>742</v>
      </c>
      <c r="O579" s="7"/>
      <c r="P579" s="9">
        <f>IF(الصنف[[#This Row],[وحده المكونات]]="جرام",1,0)</f>
        <v>0</v>
      </c>
    </row>
    <row r="580" spans="2:16" ht="20.100000000000001" customHeight="1" x14ac:dyDescent="0.2">
      <c r="B580" s="4">
        <v>578</v>
      </c>
      <c r="C580" s="4">
        <v>3502092</v>
      </c>
      <c r="D580" s="2" t="s">
        <v>699</v>
      </c>
      <c r="E580" s="2" t="s">
        <v>699</v>
      </c>
      <c r="G580" s="1" t="str">
        <f>LEFT(الصنف[[#This Row],[تصنيف فرعي (2)]],4)</f>
        <v>3502</v>
      </c>
      <c r="H580" s="5" t="s">
        <v>1033</v>
      </c>
      <c r="I580" s="5" t="str">
        <f>LEFT(الصنف[[#This Row],[تصنيف فرعي (1)]],2)</f>
        <v>35</v>
      </c>
      <c r="J580" s="1" t="s">
        <v>901</v>
      </c>
      <c r="K580" s="1">
        <f>VLOOKUP(الصنف[[#This Row],[وحده القياس]],$S$4:$T$67,2,TRUE)</f>
        <v>43</v>
      </c>
      <c r="L580" s="1" t="s">
        <v>742</v>
      </c>
      <c r="M580" s="1">
        <v>1</v>
      </c>
      <c r="N580" s="6" t="s">
        <v>742</v>
      </c>
      <c r="O580" s="7"/>
      <c r="P580" s="9">
        <f>IF(الصنف[[#This Row],[وحده المكونات]]="جرام",1,0)</f>
        <v>0</v>
      </c>
    </row>
    <row r="581" spans="2:16" ht="20.100000000000001" customHeight="1" x14ac:dyDescent="0.2">
      <c r="B581" s="4">
        <v>579</v>
      </c>
      <c r="C581" s="4">
        <v>3502093</v>
      </c>
      <c r="D581" s="2" t="s">
        <v>700</v>
      </c>
      <c r="E581" s="2" t="s">
        <v>700</v>
      </c>
      <c r="G581" s="1" t="str">
        <f>LEFT(الصنف[[#This Row],[تصنيف فرعي (2)]],4)</f>
        <v>3502</v>
      </c>
      <c r="H581" s="5" t="s">
        <v>1033</v>
      </c>
      <c r="I581" s="5" t="str">
        <f>LEFT(الصنف[[#This Row],[تصنيف فرعي (1)]],2)</f>
        <v>35</v>
      </c>
      <c r="J581" s="1" t="s">
        <v>901</v>
      </c>
      <c r="K581" s="1">
        <f>VLOOKUP(الصنف[[#This Row],[وحده القياس]],$S$4:$T$67,2,TRUE)</f>
        <v>43</v>
      </c>
      <c r="L581" s="1" t="s">
        <v>742</v>
      </c>
      <c r="M581" s="1">
        <v>1</v>
      </c>
      <c r="N581" s="6" t="s">
        <v>742</v>
      </c>
      <c r="O581" s="7"/>
      <c r="P581" s="9">
        <f>IF(الصنف[[#This Row],[وحده المكونات]]="جرام",1,0)</f>
        <v>0</v>
      </c>
    </row>
    <row r="582" spans="2:16" ht="20.100000000000001" customHeight="1" x14ac:dyDescent="0.2">
      <c r="B582" s="4">
        <v>580</v>
      </c>
      <c r="C582" s="4">
        <v>3502094</v>
      </c>
      <c r="D582" s="2" t="s">
        <v>701</v>
      </c>
      <c r="E582" s="2" t="s">
        <v>701</v>
      </c>
      <c r="G582" s="1" t="str">
        <f>LEFT(الصنف[[#This Row],[تصنيف فرعي (2)]],4)</f>
        <v>3502</v>
      </c>
      <c r="H582" s="5" t="s">
        <v>1033</v>
      </c>
      <c r="I582" s="5" t="str">
        <f>LEFT(الصنف[[#This Row],[تصنيف فرعي (1)]],2)</f>
        <v>35</v>
      </c>
      <c r="J582" s="1" t="s">
        <v>901</v>
      </c>
      <c r="K582" s="1">
        <f>VLOOKUP(الصنف[[#This Row],[وحده القياس]],$S$4:$T$67,2,TRUE)</f>
        <v>43</v>
      </c>
      <c r="L582" s="1" t="s">
        <v>742</v>
      </c>
      <c r="M582" s="1">
        <v>1</v>
      </c>
      <c r="N582" s="6" t="s">
        <v>742</v>
      </c>
      <c r="O582" s="7"/>
      <c r="P582" s="9">
        <f>IF(الصنف[[#This Row],[وحده المكونات]]="جرام",1,0)</f>
        <v>0</v>
      </c>
    </row>
    <row r="583" spans="2:16" ht="20.100000000000001" customHeight="1" x14ac:dyDescent="0.2">
      <c r="B583" s="4">
        <v>581</v>
      </c>
      <c r="C583" s="4">
        <v>3502095</v>
      </c>
      <c r="D583" s="2" t="s">
        <v>190</v>
      </c>
      <c r="E583" s="2" t="s">
        <v>190</v>
      </c>
      <c r="G583" s="1" t="str">
        <f>LEFT(الصنف[[#This Row],[تصنيف فرعي (2)]],4)</f>
        <v>3502</v>
      </c>
      <c r="H583" s="5" t="s">
        <v>1033</v>
      </c>
      <c r="I583" s="5" t="str">
        <f>LEFT(الصنف[[#This Row],[تصنيف فرعي (1)]],2)</f>
        <v>35</v>
      </c>
      <c r="J583" s="1" t="s">
        <v>901</v>
      </c>
      <c r="K583" s="1">
        <f>VLOOKUP(الصنف[[#This Row],[وحده القياس]],$S$4:$T$67,2,TRUE)</f>
        <v>43</v>
      </c>
      <c r="L583" s="1" t="s">
        <v>742</v>
      </c>
      <c r="M583" s="1">
        <v>1</v>
      </c>
      <c r="N583" s="6" t="s">
        <v>742</v>
      </c>
      <c r="O583" s="7"/>
      <c r="P583" s="9">
        <f>IF(الصنف[[#This Row],[وحده المكونات]]="جرام",1,0)</f>
        <v>0</v>
      </c>
    </row>
    <row r="584" spans="2:16" ht="20.100000000000001" customHeight="1" x14ac:dyDescent="0.2">
      <c r="B584" s="4">
        <v>582</v>
      </c>
      <c r="C584" s="4">
        <v>3502096</v>
      </c>
      <c r="D584" s="2" t="s">
        <v>144</v>
      </c>
      <c r="E584" s="2" t="s">
        <v>144</v>
      </c>
      <c r="G584" s="1" t="str">
        <f>LEFT(الصنف[[#This Row],[تصنيف فرعي (2)]],4)</f>
        <v>3502</v>
      </c>
      <c r="H584" s="5" t="s">
        <v>1033</v>
      </c>
      <c r="I584" s="5" t="str">
        <f>LEFT(الصنف[[#This Row],[تصنيف فرعي (1)]],2)</f>
        <v>35</v>
      </c>
      <c r="J584" s="1" t="s">
        <v>901</v>
      </c>
      <c r="K584" s="1">
        <f>VLOOKUP(الصنف[[#This Row],[وحده القياس]],$S$4:$T$67,2,TRUE)</f>
        <v>43</v>
      </c>
      <c r="L584" s="1" t="s">
        <v>742</v>
      </c>
      <c r="M584" s="1">
        <v>1</v>
      </c>
      <c r="N584" s="6" t="s">
        <v>742</v>
      </c>
      <c r="O584" s="7"/>
      <c r="P584" s="9">
        <f>IF(الصنف[[#This Row],[وحده المكونات]]="جرام",1,0)</f>
        <v>0</v>
      </c>
    </row>
    <row r="585" spans="2:16" ht="20.100000000000001" customHeight="1" x14ac:dyDescent="0.2">
      <c r="B585" s="4">
        <v>583</v>
      </c>
      <c r="C585" s="4">
        <v>3502097</v>
      </c>
      <c r="D585" s="2" t="s">
        <v>282</v>
      </c>
      <c r="E585" s="2" t="s">
        <v>282</v>
      </c>
      <c r="G585" s="1" t="str">
        <f>LEFT(الصنف[[#This Row],[تصنيف فرعي (2)]],4)</f>
        <v>3502</v>
      </c>
      <c r="H585" s="5" t="s">
        <v>1033</v>
      </c>
      <c r="I585" s="5" t="str">
        <f>LEFT(الصنف[[#This Row],[تصنيف فرعي (1)]],2)</f>
        <v>35</v>
      </c>
      <c r="J585" s="1" t="s">
        <v>901</v>
      </c>
      <c r="K585" s="1">
        <f>VLOOKUP(الصنف[[#This Row],[وحده القياس]],$S$4:$T$67,2,TRUE)</f>
        <v>43</v>
      </c>
      <c r="L585" s="1" t="s">
        <v>742</v>
      </c>
      <c r="M585" s="1">
        <v>1</v>
      </c>
      <c r="N585" s="6" t="s">
        <v>742</v>
      </c>
      <c r="O585" s="7"/>
      <c r="P585" s="9">
        <f>IF(الصنف[[#This Row],[وحده المكونات]]="جرام",1,0)</f>
        <v>0</v>
      </c>
    </row>
    <row r="586" spans="2:16" ht="20.100000000000001" customHeight="1" x14ac:dyDescent="0.2">
      <c r="B586" s="4">
        <v>584</v>
      </c>
      <c r="C586" s="4">
        <v>3502098</v>
      </c>
      <c r="D586" s="2" t="s">
        <v>281</v>
      </c>
      <c r="E586" s="2" t="s">
        <v>281</v>
      </c>
      <c r="G586" s="1" t="str">
        <f>LEFT(الصنف[[#This Row],[تصنيف فرعي (2)]],4)</f>
        <v>3502</v>
      </c>
      <c r="H586" s="5" t="s">
        <v>1033</v>
      </c>
      <c r="I586" s="5" t="str">
        <f>LEFT(الصنف[[#This Row],[تصنيف فرعي (1)]],2)</f>
        <v>35</v>
      </c>
      <c r="J586" s="1" t="s">
        <v>901</v>
      </c>
      <c r="K586" s="1">
        <f>VLOOKUP(الصنف[[#This Row],[وحده القياس]],$S$4:$T$67,2,TRUE)</f>
        <v>43</v>
      </c>
      <c r="L586" s="1" t="s">
        <v>742</v>
      </c>
      <c r="M586" s="1">
        <v>1</v>
      </c>
      <c r="N586" s="6" t="s">
        <v>742</v>
      </c>
      <c r="O586" s="7"/>
      <c r="P586" s="9">
        <f>IF(الصنف[[#This Row],[وحده المكونات]]="جرام",1,0)</f>
        <v>0</v>
      </c>
    </row>
    <row r="587" spans="2:16" ht="20.100000000000001" customHeight="1" x14ac:dyDescent="0.2">
      <c r="B587" s="4">
        <v>585</v>
      </c>
      <c r="C587" s="4">
        <v>3502099</v>
      </c>
      <c r="D587" s="2" t="s">
        <v>753</v>
      </c>
      <c r="E587" s="2" t="s">
        <v>753</v>
      </c>
      <c r="G587" s="1" t="str">
        <f>LEFT(الصنف[[#This Row],[تصنيف فرعي (2)]],4)</f>
        <v>3502</v>
      </c>
      <c r="H587" s="5" t="s">
        <v>1033</v>
      </c>
      <c r="I587" s="5" t="str">
        <f>LEFT(الصنف[[#This Row],[تصنيف فرعي (1)]],2)</f>
        <v>35</v>
      </c>
      <c r="J587" s="1" t="s">
        <v>901</v>
      </c>
      <c r="K587" s="1">
        <f>VLOOKUP(الصنف[[#This Row],[وحده القياس]],$S$4:$T$67,2,TRUE)</f>
        <v>43</v>
      </c>
      <c r="L587" s="1" t="s">
        <v>742</v>
      </c>
      <c r="M587" s="1">
        <v>1</v>
      </c>
      <c r="N587" s="6" t="s">
        <v>742</v>
      </c>
      <c r="O587" s="7"/>
      <c r="P587" s="9">
        <f>IF(الصنف[[#This Row],[وحده المكونات]]="جرام",1,0)</f>
        <v>0</v>
      </c>
    </row>
    <row r="588" spans="2:16" ht="20.100000000000001" customHeight="1" x14ac:dyDescent="0.2">
      <c r="B588" s="4">
        <v>586</v>
      </c>
      <c r="C588" s="4">
        <v>3502100</v>
      </c>
      <c r="D588" s="2" t="s">
        <v>152</v>
      </c>
      <c r="E588" s="2" t="s">
        <v>152</v>
      </c>
      <c r="G588" s="1" t="str">
        <f>LEFT(الصنف[[#This Row],[تصنيف فرعي (2)]],4)</f>
        <v>3502</v>
      </c>
      <c r="H588" s="5" t="s">
        <v>1033</v>
      </c>
      <c r="I588" s="5" t="str">
        <f>LEFT(الصنف[[#This Row],[تصنيف فرعي (1)]],2)</f>
        <v>35</v>
      </c>
      <c r="J588" s="1" t="s">
        <v>901</v>
      </c>
      <c r="K588" s="1">
        <f>VLOOKUP(الصنف[[#This Row],[وحده القياس]],$S$4:$T$67,2,TRUE)</f>
        <v>43</v>
      </c>
      <c r="L588" s="1" t="s">
        <v>742</v>
      </c>
      <c r="M588" s="1">
        <v>1</v>
      </c>
      <c r="N588" s="6" t="s">
        <v>742</v>
      </c>
      <c r="O588" s="7"/>
      <c r="P588" s="9">
        <f>IF(الصنف[[#This Row],[وحده المكونات]]="جرام",1,0)</f>
        <v>0</v>
      </c>
    </row>
    <row r="589" spans="2:16" ht="20.100000000000001" customHeight="1" x14ac:dyDescent="0.2">
      <c r="B589" s="4">
        <v>587</v>
      </c>
      <c r="C589" s="4">
        <v>3502101</v>
      </c>
      <c r="D589" s="2" t="s">
        <v>184</v>
      </c>
      <c r="E589" s="2" t="s">
        <v>184</v>
      </c>
      <c r="G589" s="1" t="str">
        <f>LEFT(الصنف[[#This Row],[تصنيف فرعي (2)]],4)</f>
        <v>3502</v>
      </c>
      <c r="H589" s="5" t="s">
        <v>1033</v>
      </c>
      <c r="I589" s="5" t="str">
        <f>LEFT(الصنف[[#This Row],[تصنيف فرعي (1)]],2)</f>
        <v>35</v>
      </c>
      <c r="J589" s="1" t="s">
        <v>901</v>
      </c>
      <c r="K589" s="1">
        <f>VLOOKUP(الصنف[[#This Row],[وحده القياس]],$S$4:$T$67,2,TRUE)</f>
        <v>43</v>
      </c>
      <c r="L589" s="1" t="s">
        <v>742</v>
      </c>
      <c r="M589" s="1">
        <v>1</v>
      </c>
      <c r="N589" s="6" t="s">
        <v>742</v>
      </c>
      <c r="O589" s="7"/>
      <c r="P589" s="9">
        <f>IF(الصنف[[#This Row],[وحده المكونات]]="جرام",1,0)</f>
        <v>0</v>
      </c>
    </row>
    <row r="590" spans="2:16" ht="20.100000000000001" customHeight="1" x14ac:dyDescent="0.2">
      <c r="B590" s="4">
        <v>588</v>
      </c>
      <c r="C590" s="4">
        <v>3502102</v>
      </c>
      <c r="D590" s="2" t="s">
        <v>161</v>
      </c>
      <c r="E590" s="2" t="s">
        <v>161</v>
      </c>
      <c r="G590" s="1" t="str">
        <f>LEFT(الصنف[[#This Row],[تصنيف فرعي (2)]],4)</f>
        <v>3502</v>
      </c>
      <c r="H590" s="5" t="s">
        <v>1033</v>
      </c>
      <c r="I590" s="5" t="str">
        <f>LEFT(الصنف[[#This Row],[تصنيف فرعي (1)]],2)</f>
        <v>35</v>
      </c>
      <c r="J590" s="1" t="s">
        <v>901</v>
      </c>
      <c r="K590" s="1">
        <f>VLOOKUP(الصنف[[#This Row],[وحده القياس]],$S$4:$T$67,2,TRUE)</f>
        <v>43</v>
      </c>
      <c r="L590" s="1" t="s">
        <v>742</v>
      </c>
      <c r="M590" s="1">
        <v>1</v>
      </c>
      <c r="N590" s="6" t="s">
        <v>742</v>
      </c>
      <c r="O590" s="7"/>
      <c r="P590" s="9">
        <f>IF(الصنف[[#This Row],[وحده المكونات]]="جرام",1,0)</f>
        <v>0</v>
      </c>
    </row>
    <row r="591" spans="2:16" ht="20.100000000000001" customHeight="1" x14ac:dyDescent="0.2">
      <c r="B591" s="4">
        <v>589</v>
      </c>
      <c r="C591" s="4">
        <v>3502103</v>
      </c>
      <c r="D591" s="2" t="s">
        <v>194</v>
      </c>
      <c r="E591" s="2" t="s">
        <v>194</v>
      </c>
      <c r="G591" s="1" t="str">
        <f>LEFT(الصنف[[#This Row],[تصنيف فرعي (2)]],4)</f>
        <v>3502</v>
      </c>
      <c r="H591" s="5" t="s">
        <v>1033</v>
      </c>
      <c r="I591" s="5" t="str">
        <f>LEFT(الصنف[[#This Row],[تصنيف فرعي (1)]],2)</f>
        <v>35</v>
      </c>
      <c r="J591" s="1" t="s">
        <v>901</v>
      </c>
      <c r="K591" s="1">
        <f>VLOOKUP(الصنف[[#This Row],[وحده القياس]],$S$4:$T$67,2,TRUE)</f>
        <v>43</v>
      </c>
      <c r="L591" s="1" t="s">
        <v>742</v>
      </c>
      <c r="M591" s="1">
        <v>1</v>
      </c>
      <c r="N591" s="6" t="s">
        <v>742</v>
      </c>
      <c r="O591" s="7"/>
      <c r="P591" s="9">
        <f>IF(الصنف[[#This Row],[وحده المكونات]]="جرام",1,0)</f>
        <v>0</v>
      </c>
    </row>
    <row r="592" spans="2:16" ht="20.100000000000001" customHeight="1" x14ac:dyDescent="0.2">
      <c r="B592" s="4">
        <v>590</v>
      </c>
      <c r="C592" s="4">
        <v>3502104</v>
      </c>
      <c r="D592" s="2" t="s">
        <v>707</v>
      </c>
      <c r="E592" s="2" t="s">
        <v>707</v>
      </c>
      <c r="G592" s="1" t="str">
        <f>LEFT(الصنف[[#This Row],[تصنيف فرعي (2)]],4)</f>
        <v>3502</v>
      </c>
      <c r="H592" s="5" t="s">
        <v>1033</v>
      </c>
      <c r="I592" s="5" t="str">
        <f>LEFT(الصنف[[#This Row],[تصنيف فرعي (1)]],2)</f>
        <v>35</v>
      </c>
      <c r="J592" s="1" t="s">
        <v>901</v>
      </c>
      <c r="K592" s="1">
        <f>VLOOKUP(الصنف[[#This Row],[وحده القياس]],$S$4:$T$67,2,TRUE)</f>
        <v>43</v>
      </c>
      <c r="L592" s="1" t="s">
        <v>742</v>
      </c>
      <c r="M592" s="1">
        <v>1</v>
      </c>
      <c r="N592" s="6" t="s">
        <v>742</v>
      </c>
      <c r="O592" s="7"/>
      <c r="P592" s="9">
        <f>IF(الصنف[[#This Row],[وحده المكونات]]="جرام",1,0)</f>
        <v>0</v>
      </c>
    </row>
    <row r="593" spans="2:16" ht="20.100000000000001" customHeight="1" x14ac:dyDescent="0.2">
      <c r="B593" s="4">
        <v>591</v>
      </c>
      <c r="C593" s="4">
        <v>3502105</v>
      </c>
      <c r="D593" s="2" t="s">
        <v>916</v>
      </c>
      <c r="E593" s="2" t="s">
        <v>418</v>
      </c>
      <c r="G593" s="1" t="str">
        <f>LEFT(الصنف[[#This Row],[تصنيف فرعي (2)]],4)</f>
        <v>3502</v>
      </c>
      <c r="H593" s="5" t="s">
        <v>1033</v>
      </c>
      <c r="I593" s="5" t="str">
        <f>LEFT(الصنف[[#This Row],[تصنيف فرعي (1)]],2)</f>
        <v>35</v>
      </c>
      <c r="J593" s="1" t="s">
        <v>901</v>
      </c>
      <c r="K593" s="1">
        <f>VLOOKUP(الصنف[[#This Row],[وحده القياس]],$S$4:$T$67,2,TRUE)</f>
        <v>43</v>
      </c>
      <c r="L593" s="1" t="s">
        <v>742</v>
      </c>
      <c r="M593" s="1">
        <v>1</v>
      </c>
      <c r="N593" s="6" t="s">
        <v>742</v>
      </c>
      <c r="O593" s="7"/>
      <c r="P593" s="9">
        <f>IF(الصنف[[#This Row],[وحده المكونات]]="جرام",1,0)</f>
        <v>0</v>
      </c>
    </row>
    <row r="594" spans="2:16" ht="20.100000000000001" customHeight="1" x14ac:dyDescent="0.2">
      <c r="B594" s="4">
        <v>592</v>
      </c>
      <c r="C594" s="4">
        <v>3502106</v>
      </c>
      <c r="D594" s="2" t="s">
        <v>543</v>
      </c>
      <c r="E594" s="2" t="s">
        <v>543</v>
      </c>
      <c r="G594" s="1" t="str">
        <f>LEFT(الصنف[[#This Row],[تصنيف فرعي (2)]],4)</f>
        <v>3502</v>
      </c>
      <c r="H594" s="5" t="s">
        <v>1033</v>
      </c>
      <c r="I594" s="5" t="str">
        <f>LEFT(الصنف[[#This Row],[تصنيف فرعي (1)]],2)</f>
        <v>35</v>
      </c>
      <c r="J594" s="1" t="s">
        <v>901</v>
      </c>
      <c r="K594" s="1">
        <f>VLOOKUP(الصنف[[#This Row],[وحده القياس]],$S$4:$T$67,2,TRUE)</f>
        <v>43</v>
      </c>
      <c r="L594" s="1" t="s">
        <v>742</v>
      </c>
      <c r="M594" s="1">
        <v>1</v>
      </c>
      <c r="N594" s="6" t="s">
        <v>742</v>
      </c>
      <c r="O594" s="7"/>
      <c r="P594" s="9">
        <f>IF(الصنف[[#This Row],[وحده المكونات]]="جرام",1,0)</f>
        <v>0</v>
      </c>
    </row>
    <row r="595" spans="2:16" ht="20.100000000000001" customHeight="1" x14ac:dyDescent="0.2">
      <c r="B595" s="4">
        <v>593</v>
      </c>
      <c r="C595" s="4">
        <v>3502107</v>
      </c>
      <c r="D595" s="2" t="s">
        <v>649</v>
      </c>
      <c r="E595" s="2" t="s">
        <v>649</v>
      </c>
      <c r="G595" s="1" t="str">
        <f>LEFT(الصنف[[#This Row],[تصنيف فرعي (2)]],4)</f>
        <v>3502</v>
      </c>
      <c r="H595" s="5" t="s">
        <v>1033</v>
      </c>
      <c r="I595" s="5" t="str">
        <f>LEFT(الصنف[[#This Row],[تصنيف فرعي (1)]],2)</f>
        <v>35</v>
      </c>
      <c r="J595" s="1" t="s">
        <v>901</v>
      </c>
      <c r="K595" s="1">
        <f>VLOOKUP(الصنف[[#This Row],[وحده القياس]],$S$4:$T$67,2,TRUE)</f>
        <v>43</v>
      </c>
      <c r="L595" s="1" t="s">
        <v>742</v>
      </c>
      <c r="M595" s="1">
        <v>1</v>
      </c>
      <c r="N595" s="6" t="s">
        <v>742</v>
      </c>
      <c r="O595" s="7"/>
      <c r="P595" s="9">
        <f>IF(الصنف[[#This Row],[وحده المكونات]]="جرام",1,0)</f>
        <v>0</v>
      </c>
    </row>
    <row r="596" spans="2:16" ht="20.100000000000001" customHeight="1" x14ac:dyDescent="0.2">
      <c r="B596" s="4">
        <v>594</v>
      </c>
      <c r="C596" s="4">
        <v>3502108</v>
      </c>
      <c r="D596" s="2" t="s">
        <v>142</v>
      </c>
      <c r="E596" s="2" t="s">
        <v>142</v>
      </c>
      <c r="G596" s="1" t="str">
        <f>LEFT(الصنف[[#This Row],[تصنيف فرعي (2)]],4)</f>
        <v>3502</v>
      </c>
      <c r="H596" s="5" t="s">
        <v>1033</v>
      </c>
      <c r="I596" s="5" t="str">
        <f>LEFT(الصنف[[#This Row],[تصنيف فرعي (1)]],2)</f>
        <v>35</v>
      </c>
      <c r="J596" s="1" t="s">
        <v>901</v>
      </c>
      <c r="K596" s="1">
        <f>VLOOKUP(الصنف[[#This Row],[وحده القياس]],$S$4:$T$67,2,TRUE)</f>
        <v>43</v>
      </c>
      <c r="L596" s="1" t="s">
        <v>742</v>
      </c>
      <c r="M596" s="1">
        <v>1</v>
      </c>
      <c r="N596" s="6" t="s">
        <v>742</v>
      </c>
      <c r="O596" s="7"/>
      <c r="P596" s="9">
        <f>IF(الصنف[[#This Row],[وحده المكونات]]="جرام",1,0)</f>
        <v>0</v>
      </c>
    </row>
    <row r="597" spans="2:16" ht="20.100000000000001" customHeight="1" x14ac:dyDescent="0.2">
      <c r="B597" s="4">
        <v>595</v>
      </c>
      <c r="C597" s="4">
        <v>3502109</v>
      </c>
      <c r="D597" s="2" t="s">
        <v>143</v>
      </c>
      <c r="E597" s="2" t="s">
        <v>143</v>
      </c>
      <c r="G597" s="1" t="str">
        <f>LEFT(الصنف[[#This Row],[تصنيف فرعي (2)]],4)</f>
        <v>3502</v>
      </c>
      <c r="H597" s="5" t="s">
        <v>1033</v>
      </c>
      <c r="I597" s="5" t="str">
        <f>LEFT(الصنف[[#This Row],[تصنيف فرعي (1)]],2)</f>
        <v>35</v>
      </c>
      <c r="J597" s="1" t="s">
        <v>901</v>
      </c>
      <c r="K597" s="1">
        <f>VLOOKUP(الصنف[[#This Row],[وحده القياس]],$S$4:$T$67,2,TRUE)</f>
        <v>43</v>
      </c>
      <c r="L597" s="1" t="s">
        <v>742</v>
      </c>
      <c r="M597" s="1">
        <v>1</v>
      </c>
      <c r="N597" s="6" t="s">
        <v>742</v>
      </c>
      <c r="O597" s="7"/>
      <c r="P597" s="9">
        <f>IF(الصنف[[#This Row],[وحده المكونات]]="جرام",1,0)</f>
        <v>0</v>
      </c>
    </row>
    <row r="598" spans="2:16" ht="20.100000000000001" customHeight="1" x14ac:dyDescent="0.2">
      <c r="B598" s="4">
        <v>596</v>
      </c>
      <c r="C598" s="4">
        <v>3502110</v>
      </c>
      <c r="D598" s="2" t="s">
        <v>325</v>
      </c>
      <c r="E598" s="2" t="s">
        <v>325</v>
      </c>
      <c r="G598" s="1" t="str">
        <f>LEFT(الصنف[[#This Row],[تصنيف فرعي (2)]],4)</f>
        <v>3502</v>
      </c>
      <c r="H598" s="5" t="s">
        <v>1033</v>
      </c>
      <c r="I598" s="5" t="str">
        <f>LEFT(الصنف[[#This Row],[تصنيف فرعي (1)]],2)</f>
        <v>35</v>
      </c>
      <c r="J598" s="1" t="s">
        <v>901</v>
      </c>
      <c r="K598" s="1">
        <f>VLOOKUP(الصنف[[#This Row],[وحده القياس]],$S$4:$T$67,2,TRUE)</f>
        <v>43</v>
      </c>
      <c r="L598" s="1" t="s">
        <v>742</v>
      </c>
      <c r="M598" s="1">
        <v>1</v>
      </c>
      <c r="N598" s="6" t="s">
        <v>742</v>
      </c>
      <c r="O598" s="7"/>
      <c r="P598" s="9">
        <f>IF(الصنف[[#This Row],[وحده المكونات]]="جرام",1,0)</f>
        <v>0</v>
      </c>
    </row>
    <row r="599" spans="2:16" ht="20.100000000000001" customHeight="1" x14ac:dyDescent="0.2">
      <c r="B599" s="4">
        <v>598</v>
      </c>
      <c r="C599" s="4">
        <v>3502112</v>
      </c>
      <c r="D599" s="2" t="s">
        <v>204</v>
      </c>
      <c r="E599" s="2" t="s">
        <v>204</v>
      </c>
      <c r="G599" s="1" t="str">
        <f>LEFT(الصنف[[#This Row],[تصنيف فرعي (2)]],4)</f>
        <v>3502</v>
      </c>
      <c r="H599" s="5" t="s">
        <v>1033</v>
      </c>
      <c r="I599" s="5" t="str">
        <f>LEFT(الصنف[[#This Row],[تصنيف فرعي (1)]],2)</f>
        <v>35</v>
      </c>
      <c r="J599" s="1" t="s">
        <v>901</v>
      </c>
      <c r="K599" s="1">
        <f>VLOOKUP(الصنف[[#This Row],[وحده القياس]],$S$4:$T$67,2,TRUE)</f>
        <v>43</v>
      </c>
      <c r="L599" s="1" t="s">
        <v>742</v>
      </c>
      <c r="M599" s="1">
        <v>1</v>
      </c>
      <c r="N599" s="6" t="s">
        <v>742</v>
      </c>
      <c r="O599" s="7"/>
      <c r="P599" s="9">
        <f>IF(الصنف[[#This Row],[وحده المكونات]]="جرام",1,0)</f>
        <v>0</v>
      </c>
    </row>
    <row r="600" spans="2:16" ht="20.100000000000001" customHeight="1" x14ac:dyDescent="0.2">
      <c r="B600" s="4">
        <v>599</v>
      </c>
      <c r="C600" s="4">
        <v>3502113</v>
      </c>
      <c r="D600" s="2" t="s">
        <v>803</v>
      </c>
      <c r="E600" s="2" t="s">
        <v>576</v>
      </c>
      <c r="G600" s="1" t="str">
        <f>LEFT(الصنف[[#This Row],[تصنيف فرعي (2)]],4)</f>
        <v>3502</v>
      </c>
      <c r="H600" s="5" t="s">
        <v>1033</v>
      </c>
      <c r="I600" s="5" t="str">
        <f>LEFT(الصنف[[#This Row],[تصنيف فرعي (1)]],2)</f>
        <v>35</v>
      </c>
      <c r="J600" s="1" t="s">
        <v>901</v>
      </c>
      <c r="K600" s="1">
        <f>VLOOKUP(الصنف[[#This Row],[وحده القياس]],$S$4:$T$67,2,TRUE)</f>
        <v>43</v>
      </c>
      <c r="L600" s="1" t="s">
        <v>742</v>
      </c>
      <c r="M600" s="1">
        <v>1</v>
      </c>
      <c r="N600" s="6" t="s">
        <v>742</v>
      </c>
      <c r="O600" s="7"/>
      <c r="P600" s="9">
        <f>IF(الصنف[[#This Row],[وحده المكونات]]="جرام",1,0)</f>
        <v>0</v>
      </c>
    </row>
    <row r="601" spans="2:16" ht="20.100000000000001" customHeight="1" x14ac:dyDescent="0.2">
      <c r="B601" s="4">
        <v>600</v>
      </c>
      <c r="C601" s="4">
        <v>3502114</v>
      </c>
      <c r="D601" s="2" t="s">
        <v>804</v>
      </c>
      <c r="E601" s="2" t="s">
        <v>702</v>
      </c>
      <c r="G601" s="1" t="str">
        <f>LEFT(الصنف[[#This Row],[تصنيف فرعي (2)]],4)</f>
        <v>3502</v>
      </c>
      <c r="H601" s="5" t="s">
        <v>1033</v>
      </c>
      <c r="I601" s="5" t="str">
        <f>LEFT(الصنف[[#This Row],[تصنيف فرعي (1)]],2)</f>
        <v>35</v>
      </c>
      <c r="J601" s="1" t="s">
        <v>901</v>
      </c>
      <c r="K601" s="1">
        <f>VLOOKUP(الصنف[[#This Row],[وحده القياس]],$S$4:$T$67,2,TRUE)</f>
        <v>43</v>
      </c>
      <c r="L601" s="1" t="s">
        <v>742</v>
      </c>
      <c r="M601" s="1">
        <v>1</v>
      </c>
      <c r="N601" s="6" t="s">
        <v>742</v>
      </c>
      <c r="O601" s="7"/>
      <c r="P601" s="9">
        <f>IF(الصنف[[#This Row],[وحده المكونات]]="جرام",1,0)</f>
        <v>0</v>
      </c>
    </row>
    <row r="602" spans="2:16" ht="20.100000000000001" customHeight="1" x14ac:dyDescent="0.2">
      <c r="B602" s="4">
        <v>601</v>
      </c>
      <c r="C602" s="4">
        <v>3502115</v>
      </c>
      <c r="D602" s="2" t="s">
        <v>645</v>
      </c>
      <c r="E602" s="2" t="s">
        <v>645</v>
      </c>
      <c r="G602" s="1" t="str">
        <f>LEFT(الصنف[[#This Row],[تصنيف فرعي (2)]],4)</f>
        <v>3502</v>
      </c>
      <c r="H602" s="5" t="s">
        <v>1033</v>
      </c>
      <c r="I602" s="5" t="str">
        <f>LEFT(الصنف[[#This Row],[تصنيف فرعي (1)]],2)</f>
        <v>35</v>
      </c>
      <c r="J602" s="1" t="s">
        <v>901</v>
      </c>
      <c r="K602" s="1">
        <f>VLOOKUP(الصنف[[#This Row],[وحده القياس]],$S$4:$T$67,2,TRUE)</f>
        <v>43</v>
      </c>
      <c r="L602" s="1" t="s">
        <v>742</v>
      </c>
      <c r="M602" s="1">
        <v>1</v>
      </c>
      <c r="N602" s="6" t="s">
        <v>742</v>
      </c>
      <c r="O602" s="7"/>
      <c r="P602" s="9">
        <f>IF(الصنف[[#This Row],[وحده المكونات]]="جرام",1,0)</f>
        <v>0</v>
      </c>
    </row>
    <row r="603" spans="2:16" ht="20.100000000000001" customHeight="1" x14ac:dyDescent="0.2">
      <c r="B603" s="4">
        <v>602</v>
      </c>
      <c r="C603" s="4">
        <v>3502116</v>
      </c>
      <c r="D603" s="2" t="s">
        <v>754</v>
      </c>
      <c r="E603" s="2" t="s">
        <v>754</v>
      </c>
      <c r="G603" s="1" t="str">
        <f>LEFT(الصنف[[#This Row],[تصنيف فرعي (2)]],4)</f>
        <v>3502</v>
      </c>
      <c r="H603" s="5" t="s">
        <v>1033</v>
      </c>
      <c r="I603" s="5" t="str">
        <f>LEFT(الصنف[[#This Row],[تصنيف فرعي (1)]],2)</f>
        <v>35</v>
      </c>
      <c r="J603" s="1" t="s">
        <v>901</v>
      </c>
      <c r="K603" s="1">
        <f>VLOOKUP(الصنف[[#This Row],[وحده القياس]],$S$4:$T$67,2,TRUE)</f>
        <v>43</v>
      </c>
      <c r="L603" s="1" t="s">
        <v>742</v>
      </c>
      <c r="M603" s="1">
        <v>1</v>
      </c>
      <c r="N603" s="6" t="s">
        <v>742</v>
      </c>
      <c r="O603" s="7"/>
      <c r="P603" s="9">
        <f>IF(الصنف[[#This Row],[وحده المكونات]]="جرام",1,0)</f>
        <v>0</v>
      </c>
    </row>
    <row r="604" spans="2:16" ht="20.100000000000001" customHeight="1" x14ac:dyDescent="0.2">
      <c r="B604" s="4">
        <v>603</v>
      </c>
      <c r="C604" s="4">
        <v>3502117</v>
      </c>
      <c r="D604" s="2" t="s">
        <v>587</v>
      </c>
      <c r="E604" s="2" t="s">
        <v>587</v>
      </c>
      <c r="G604" s="1" t="str">
        <f>LEFT(الصنف[[#This Row],[تصنيف فرعي (2)]],4)</f>
        <v>3502</v>
      </c>
      <c r="H604" s="5" t="s">
        <v>1033</v>
      </c>
      <c r="I604" s="5" t="str">
        <f>LEFT(الصنف[[#This Row],[تصنيف فرعي (1)]],2)</f>
        <v>35</v>
      </c>
      <c r="J604" s="1" t="s">
        <v>901</v>
      </c>
      <c r="K604" s="1">
        <f>VLOOKUP(الصنف[[#This Row],[وحده القياس]],$S$4:$T$67,2,TRUE)</f>
        <v>43</v>
      </c>
      <c r="L604" s="1" t="s">
        <v>742</v>
      </c>
      <c r="M604" s="1">
        <v>1</v>
      </c>
      <c r="N604" s="6" t="s">
        <v>742</v>
      </c>
      <c r="O604" s="7"/>
      <c r="P604" s="9">
        <f>IF(الصنف[[#This Row],[وحده المكونات]]="جرام",1,0)</f>
        <v>0</v>
      </c>
    </row>
    <row r="605" spans="2:16" ht="20.100000000000001" customHeight="1" x14ac:dyDescent="0.2">
      <c r="B605" s="4">
        <v>597</v>
      </c>
      <c r="C605" s="4">
        <v>3502111</v>
      </c>
      <c r="D605" s="2" t="s">
        <v>1058</v>
      </c>
      <c r="E605" s="2" t="s">
        <v>371</v>
      </c>
      <c r="G605" s="1" t="str">
        <f>LEFT(الصنف[[#This Row],[تصنيف فرعي (2)]],4)</f>
        <v>3502</v>
      </c>
      <c r="H605" s="5" t="s">
        <v>1033</v>
      </c>
      <c r="I605" s="5" t="str">
        <f>LEFT(الصنف[[#This Row],[تصنيف فرعي (1)]],2)</f>
        <v>35</v>
      </c>
      <c r="J605" s="1" t="s">
        <v>901</v>
      </c>
      <c r="K605" s="1">
        <f>VLOOKUP(الصنف[[#This Row],[وحده القياس]],$S$4:$T$67,2,TRUE)</f>
        <v>43</v>
      </c>
      <c r="L605" s="1" t="s">
        <v>742</v>
      </c>
      <c r="M605" s="1">
        <v>1</v>
      </c>
      <c r="N605" s="6" t="s">
        <v>742</v>
      </c>
      <c r="O605" s="7"/>
      <c r="P605" s="9">
        <f>IF(الصنف[[#This Row],[وحده المكونات]]="جرام",1,0)</f>
        <v>0</v>
      </c>
    </row>
    <row r="606" spans="2:16" ht="20.100000000000001" customHeight="1" x14ac:dyDescent="0.2">
      <c r="B606" s="4">
        <v>604</v>
      </c>
      <c r="C606" s="4">
        <v>3502118</v>
      </c>
      <c r="D606" s="2" t="s">
        <v>548</v>
      </c>
      <c r="E606" s="2" t="s">
        <v>548</v>
      </c>
      <c r="G606" s="1" t="str">
        <f>LEFT(الصنف[[#This Row],[تصنيف فرعي (2)]],4)</f>
        <v>3502</v>
      </c>
      <c r="H606" s="5" t="s">
        <v>1033</v>
      </c>
      <c r="I606" s="5" t="str">
        <f>LEFT(الصنف[[#This Row],[تصنيف فرعي (1)]],2)</f>
        <v>35</v>
      </c>
      <c r="J606" s="1" t="s">
        <v>901</v>
      </c>
      <c r="K606" s="1">
        <f>VLOOKUP(الصنف[[#This Row],[وحده القياس]],$S$4:$T$67,2,TRUE)</f>
        <v>43</v>
      </c>
      <c r="L606" s="1" t="s">
        <v>742</v>
      </c>
      <c r="M606" s="1">
        <v>1</v>
      </c>
      <c r="N606" s="6" t="s">
        <v>742</v>
      </c>
      <c r="O606" s="7"/>
      <c r="P606" s="9">
        <f>IF(الصنف[[#This Row],[وحده المكونات]]="جرام",1,0)</f>
        <v>0</v>
      </c>
    </row>
    <row r="607" spans="2:16" ht="20.100000000000001" customHeight="1" x14ac:dyDescent="0.2">
      <c r="B607" s="4">
        <v>605</v>
      </c>
      <c r="C607" s="4">
        <v>3502119</v>
      </c>
      <c r="D607" s="2" t="s">
        <v>174</v>
      </c>
      <c r="E607" s="2" t="s">
        <v>174</v>
      </c>
      <c r="G607" s="1" t="str">
        <f>LEFT(الصنف[[#This Row],[تصنيف فرعي (2)]],4)</f>
        <v>3502</v>
      </c>
      <c r="H607" s="5" t="s">
        <v>1033</v>
      </c>
      <c r="I607" s="5" t="str">
        <f>LEFT(الصنف[[#This Row],[تصنيف فرعي (1)]],2)</f>
        <v>35</v>
      </c>
      <c r="J607" s="1" t="s">
        <v>901</v>
      </c>
      <c r="K607" s="1">
        <f>VLOOKUP(الصنف[[#This Row],[وحده القياس]],$S$4:$T$67,2,TRUE)</f>
        <v>43</v>
      </c>
      <c r="L607" s="1" t="s">
        <v>742</v>
      </c>
      <c r="M607" s="1">
        <v>1</v>
      </c>
      <c r="N607" s="6" t="s">
        <v>742</v>
      </c>
      <c r="O607" s="7"/>
      <c r="P607" s="9">
        <f>IF(الصنف[[#This Row],[وحده المكونات]]="جرام",1,0)</f>
        <v>0</v>
      </c>
    </row>
    <row r="608" spans="2:16" ht="20.100000000000001" customHeight="1" x14ac:dyDescent="0.2">
      <c r="B608" s="4">
        <v>606</v>
      </c>
      <c r="C608" s="4">
        <v>3502120</v>
      </c>
      <c r="D608" s="2" t="s">
        <v>521</v>
      </c>
      <c r="E608" s="2" t="s">
        <v>521</v>
      </c>
      <c r="G608" s="1" t="str">
        <f>LEFT(الصنف[[#This Row],[تصنيف فرعي (2)]],4)</f>
        <v>3502</v>
      </c>
      <c r="H608" s="5" t="s">
        <v>1033</v>
      </c>
      <c r="I608" s="5" t="str">
        <f>LEFT(الصنف[[#This Row],[تصنيف فرعي (1)]],2)</f>
        <v>35</v>
      </c>
      <c r="J608" s="1" t="s">
        <v>901</v>
      </c>
      <c r="K608" s="1">
        <f>VLOOKUP(الصنف[[#This Row],[وحده القياس]],$S$4:$T$67,2,TRUE)</f>
        <v>43</v>
      </c>
      <c r="L608" s="1" t="s">
        <v>742</v>
      </c>
      <c r="M608" s="1">
        <v>1</v>
      </c>
      <c r="N608" s="6" t="s">
        <v>742</v>
      </c>
      <c r="O608" s="7"/>
      <c r="P608" s="9">
        <f>IF(الصنف[[#This Row],[وحده المكونات]]="جرام",1,0)</f>
        <v>0</v>
      </c>
    </row>
    <row r="609" spans="2:16" ht="20.100000000000001" customHeight="1" x14ac:dyDescent="0.2">
      <c r="B609" s="4">
        <v>607</v>
      </c>
      <c r="C609" s="4">
        <v>3502121</v>
      </c>
      <c r="D609" s="2" t="s">
        <v>564</v>
      </c>
      <c r="E609" s="2" t="s">
        <v>564</v>
      </c>
      <c r="G609" s="1" t="str">
        <f>LEFT(الصنف[[#This Row],[تصنيف فرعي (2)]],4)</f>
        <v>3502</v>
      </c>
      <c r="H609" s="5" t="s">
        <v>1033</v>
      </c>
      <c r="I609" s="5" t="str">
        <f>LEFT(الصنف[[#This Row],[تصنيف فرعي (1)]],2)</f>
        <v>35</v>
      </c>
      <c r="J609" s="1" t="s">
        <v>901</v>
      </c>
      <c r="K609" s="1">
        <f>VLOOKUP(الصنف[[#This Row],[وحده القياس]],$S$4:$T$67,2,TRUE)</f>
        <v>43</v>
      </c>
      <c r="L609" s="1" t="s">
        <v>742</v>
      </c>
      <c r="M609" s="1">
        <v>1</v>
      </c>
      <c r="N609" s="6" t="s">
        <v>742</v>
      </c>
      <c r="O609" s="7"/>
      <c r="P609" s="9">
        <f>IF(الصنف[[#This Row],[وحده المكونات]]="جرام",1,0)</f>
        <v>0</v>
      </c>
    </row>
    <row r="610" spans="2:16" ht="20.100000000000001" customHeight="1" x14ac:dyDescent="0.2">
      <c r="B610" s="4">
        <v>608</v>
      </c>
      <c r="C610" s="4">
        <v>3502122</v>
      </c>
      <c r="D610" s="2" t="s">
        <v>155</v>
      </c>
      <c r="E610" s="2" t="s">
        <v>155</v>
      </c>
      <c r="G610" s="1" t="str">
        <f>LEFT(الصنف[[#This Row],[تصنيف فرعي (2)]],4)</f>
        <v>3502</v>
      </c>
      <c r="H610" s="5" t="s">
        <v>1033</v>
      </c>
      <c r="I610" s="5" t="str">
        <f>LEFT(الصنف[[#This Row],[تصنيف فرعي (1)]],2)</f>
        <v>35</v>
      </c>
      <c r="J610" s="1" t="s">
        <v>901</v>
      </c>
      <c r="K610" s="1">
        <f>VLOOKUP(الصنف[[#This Row],[وحده القياس]],$S$4:$T$67,2,TRUE)</f>
        <v>43</v>
      </c>
      <c r="L610" s="1" t="s">
        <v>742</v>
      </c>
      <c r="M610" s="1">
        <v>1</v>
      </c>
      <c r="N610" s="6" t="s">
        <v>742</v>
      </c>
      <c r="O610" s="7"/>
      <c r="P610" s="9">
        <f>IF(الصنف[[#This Row],[وحده المكونات]]="جرام",1,0)</f>
        <v>0</v>
      </c>
    </row>
    <row r="611" spans="2:16" ht="20.100000000000001" customHeight="1" x14ac:dyDescent="0.2">
      <c r="B611" s="4">
        <v>609</v>
      </c>
      <c r="C611" s="4">
        <v>3502123</v>
      </c>
      <c r="D611" s="2" t="s">
        <v>550</v>
      </c>
      <c r="E611" s="2" t="s">
        <v>550</v>
      </c>
      <c r="G611" s="1" t="str">
        <f>LEFT(الصنف[[#This Row],[تصنيف فرعي (2)]],4)</f>
        <v>3502</v>
      </c>
      <c r="H611" s="5" t="s">
        <v>1033</v>
      </c>
      <c r="I611" s="5" t="str">
        <f>LEFT(الصنف[[#This Row],[تصنيف فرعي (1)]],2)</f>
        <v>35</v>
      </c>
      <c r="J611" s="1" t="s">
        <v>901</v>
      </c>
      <c r="K611" s="1">
        <f>VLOOKUP(الصنف[[#This Row],[وحده القياس]],$S$4:$T$67,2,TRUE)</f>
        <v>43</v>
      </c>
      <c r="L611" s="1" t="s">
        <v>742</v>
      </c>
      <c r="M611" s="1">
        <v>1</v>
      </c>
      <c r="N611" s="6" t="s">
        <v>742</v>
      </c>
      <c r="O611" s="7"/>
      <c r="P611" s="9">
        <f>IF(الصنف[[#This Row],[وحده المكونات]]="جرام",1,0)</f>
        <v>0</v>
      </c>
    </row>
    <row r="612" spans="2:16" ht="20.100000000000001" customHeight="1" x14ac:dyDescent="0.2">
      <c r="B612" s="4">
        <v>610</v>
      </c>
      <c r="C612" s="4">
        <v>3502124</v>
      </c>
      <c r="D612" s="2" t="s">
        <v>805</v>
      </c>
      <c r="E612" s="2" t="s">
        <v>191</v>
      </c>
      <c r="G612" s="1" t="str">
        <f>LEFT(الصنف[[#This Row],[تصنيف فرعي (2)]],4)</f>
        <v>3502</v>
      </c>
      <c r="H612" s="5" t="s">
        <v>1033</v>
      </c>
      <c r="I612" s="5" t="str">
        <f>LEFT(الصنف[[#This Row],[تصنيف فرعي (1)]],2)</f>
        <v>35</v>
      </c>
      <c r="J612" s="1" t="s">
        <v>901</v>
      </c>
      <c r="K612" s="1">
        <f>VLOOKUP(الصنف[[#This Row],[وحده القياس]],$S$4:$T$67,2,TRUE)</f>
        <v>43</v>
      </c>
      <c r="L612" s="1" t="s">
        <v>742</v>
      </c>
      <c r="M612" s="1">
        <v>1</v>
      </c>
      <c r="N612" s="6" t="s">
        <v>742</v>
      </c>
      <c r="O612" s="7"/>
      <c r="P612" s="9">
        <f>IF(الصنف[[#This Row],[وحده المكونات]]="جرام",1,0)</f>
        <v>0</v>
      </c>
    </row>
    <row r="613" spans="2:16" ht="20.100000000000001" customHeight="1" x14ac:dyDescent="0.2">
      <c r="B613" s="4">
        <v>611</v>
      </c>
      <c r="C613" s="4">
        <v>3502125</v>
      </c>
      <c r="D613" s="2" t="s">
        <v>578</v>
      </c>
      <c r="E613" s="2" t="s">
        <v>578</v>
      </c>
      <c r="G613" s="1" t="str">
        <f>LEFT(الصنف[[#This Row],[تصنيف فرعي (2)]],4)</f>
        <v>3502</v>
      </c>
      <c r="H613" s="5" t="s">
        <v>1033</v>
      </c>
      <c r="I613" s="5" t="str">
        <f>LEFT(الصنف[[#This Row],[تصنيف فرعي (1)]],2)</f>
        <v>35</v>
      </c>
      <c r="J613" s="1" t="s">
        <v>901</v>
      </c>
      <c r="K613" s="1">
        <f>VLOOKUP(الصنف[[#This Row],[وحده القياس]],$S$4:$T$67,2,TRUE)</f>
        <v>43</v>
      </c>
      <c r="L613" s="1" t="s">
        <v>742</v>
      </c>
      <c r="M613" s="1">
        <v>1</v>
      </c>
      <c r="N613" s="6" t="s">
        <v>742</v>
      </c>
      <c r="O613" s="7"/>
      <c r="P613" s="9">
        <f>IF(الصنف[[#This Row],[وحده المكونات]]="جرام",1,0)</f>
        <v>0</v>
      </c>
    </row>
    <row r="614" spans="2:16" ht="20.100000000000001" customHeight="1" x14ac:dyDescent="0.2">
      <c r="B614" s="4">
        <v>612</v>
      </c>
      <c r="C614" s="4">
        <v>3502126</v>
      </c>
      <c r="D614" s="2" t="s">
        <v>579</v>
      </c>
      <c r="E614" s="2" t="s">
        <v>579</v>
      </c>
      <c r="G614" s="1" t="str">
        <f>LEFT(الصنف[[#This Row],[تصنيف فرعي (2)]],4)</f>
        <v>3502</v>
      </c>
      <c r="H614" s="5" t="s">
        <v>1033</v>
      </c>
      <c r="I614" s="5" t="str">
        <f>LEFT(الصنف[[#This Row],[تصنيف فرعي (1)]],2)</f>
        <v>35</v>
      </c>
      <c r="J614" s="1" t="s">
        <v>901</v>
      </c>
      <c r="K614" s="1">
        <f>VLOOKUP(الصنف[[#This Row],[وحده القياس]],$S$4:$T$67,2,TRUE)</f>
        <v>43</v>
      </c>
      <c r="L614" s="1" t="s">
        <v>742</v>
      </c>
      <c r="M614" s="1">
        <v>1</v>
      </c>
      <c r="N614" s="6" t="s">
        <v>742</v>
      </c>
      <c r="O614" s="7"/>
      <c r="P614" s="9">
        <f>IF(الصنف[[#This Row],[وحده المكونات]]="جرام",1,0)</f>
        <v>0</v>
      </c>
    </row>
    <row r="615" spans="2:16" ht="20.100000000000001" customHeight="1" x14ac:dyDescent="0.2">
      <c r="B615" s="4">
        <v>613</v>
      </c>
      <c r="C615" s="4">
        <v>3502127</v>
      </c>
      <c r="D615" s="2" t="s">
        <v>580</v>
      </c>
      <c r="E615" s="2" t="s">
        <v>580</v>
      </c>
      <c r="G615" s="1" t="str">
        <f>LEFT(الصنف[[#This Row],[تصنيف فرعي (2)]],4)</f>
        <v>3502</v>
      </c>
      <c r="H615" s="5" t="s">
        <v>1033</v>
      </c>
      <c r="I615" s="5" t="str">
        <f>LEFT(الصنف[[#This Row],[تصنيف فرعي (1)]],2)</f>
        <v>35</v>
      </c>
      <c r="J615" s="1" t="s">
        <v>901</v>
      </c>
      <c r="K615" s="1">
        <f>VLOOKUP(الصنف[[#This Row],[وحده القياس]],$S$4:$T$67,2,TRUE)</f>
        <v>43</v>
      </c>
      <c r="L615" s="1" t="s">
        <v>742</v>
      </c>
      <c r="M615" s="1">
        <v>1</v>
      </c>
      <c r="N615" s="6" t="s">
        <v>742</v>
      </c>
      <c r="O615" s="7"/>
      <c r="P615" s="9">
        <f>IF(الصنف[[#This Row],[وحده المكونات]]="جرام",1,0)</f>
        <v>0</v>
      </c>
    </row>
    <row r="616" spans="2:16" ht="20.100000000000001" customHeight="1" x14ac:dyDescent="0.2">
      <c r="B616" s="4">
        <v>614</v>
      </c>
      <c r="C616" s="4">
        <v>3502128</v>
      </c>
      <c r="D616" s="2" t="s">
        <v>577</v>
      </c>
      <c r="E616" s="2" t="s">
        <v>577</v>
      </c>
      <c r="G616" s="1" t="str">
        <f>LEFT(الصنف[[#This Row],[تصنيف فرعي (2)]],4)</f>
        <v>3502</v>
      </c>
      <c r="H616" s="5" t="s">
        <v>1033</v>
      </c>
      <c r="I616" s="5" t="str">
        <f>LEFT(الصنف[[#This Row],[تصنيف فرعي (1)]],2)</f>
        <v>35</v>
      </c>
      <c r="J616" s="1" t="s">
        <v>901</v>
      </c>
      <c r="K616" s="1">
        <f>VLOOKUP(الصنف[[#This Row],[وحده القياس]],$S$4:$T$67,2,TRUE)</f>
        <v>43</v>
      </c>
      <c r="L616" s="1" t="s">
        <v>742</v>
      </c>
      <c r="M616" s="1">
        <v>1</v>
      </c>
      <c r="N616" s="6" t="s">
        <v>742</v>
      </c>
      <c r="O616" s="7"/>
      <c r="P616" s="9">
        <f>IF(الصنف[[#This Row],[وحده المكونات]]="جرام",1,0)</f>
        <v>0</v>
      </c>
    </row>
    <row r="617" spans="2:16" ht="20.100000000000001" customHeight="1" x14ac:dyDescent="0.2">
      <c r="B617" s="4">
        <v>615</v>
      </c>
      <c r="C617" s="4">
        <v>3502129</v>
      </c>
      <c r="D617" s="2" t="s">
        <v>297</v>
      </c>
      <c r="E617" s="2" t="s">
        <v>297</v>
      </c>
      <c r="G617" s="1" t="str">
        <f>LEFT(الصنف[[#This Row],[تصنيف فرعي (2)]],4)</f>
        <v>3502</v>
      </c>
      <c r="H617" s="5" t="s">
        <v>1033</v>
      </c>
      <c r="I617" s="5" t="str">
        <f>LEFT(الصنف[[#This Row],[تصنيف فرعي (1)]],2)</f>
        <v>35</v>
      </c>
      <c r="J617" s="1" t="s">
        <v>901</v>
      </c>
      <c r="K617" s="1">
        <f>VLOOKUP(الصنف[[#This Row],[وحده القياس]],$S$4:$T$67,2,TRUE)</f>
        <v>43</v>
      </c>
      <c r="L617" s="1" t="s">
        <v>742</v>
      </c>
      <c r="M617" s="1">
        <v>1</v>
      </c>
      <c r="N617" s="6" t="s">
        <v>742</v>
      </c>
      <c r="O617" s="7"/>
      <c r="P617" s="9">
        <f>IF(الصنف[[#This Row],[وحده المكونات]]="جرام",1,0)</f>
        <v>0</v>
      </c>
    </row>
    <row r="618" spans="2:16" ht="20.100000000000001" customHeight="1" x14ac:dyDescent="0.2">
      <c r="B618" s="4">
        <v>616</v>
      </c>
      <c r="C618" s="4">
        <v>3502130</v>
      </c>
      <c r="D618" s="2" t="s">
        <v>159</v>
      </c>
      <c r="E618" s="2" t="s">
        <v>159</v>
      </c>
      <c r="G618" s="1" t="str">
        <f>LEFT(الصنف[[#This Row],[تصنيف فرعي (2)]],4)</f>
        <v>3502</v>
      </c>
      <c r="H618" s="5" t="s">
        <v>1033</v>
      </c>
      <c r="I618" s="5" t="str">
        <f>LEFT(الصنف[[#This Row],[تصنيف فرعي (1)]],2)</f>
        <v>35</v>
      </c>
      <c r="J618" s="1" t="s">
        <v>901</v>
      </c>
      <c r="K618" s="1">
        <f>VLOOKUP(الصنف[[#This Row],[وحده القياس]],$S$4:$T$67,2,TRUE)</f>
        <v>43</v>
      </c>
      <c r="L618" s="1" t="s">
        <v>742</v>
      </c>
      <c r="M618" s="1">
        <v>1</v>
      </c>
      <c r="N618" s="6" t="s">
        <v>742</v>
      </c>
      <c r="O618" s="7"/>
      <c r="P618" s="9">
        <f>IF(الصنف[[#This Row],[وحده المكونات]]="جرام",1,0)</f>
        <v>0</v>
      </c>
    </row>
    <row r="619" spans="2:16" ht="20.100000000000001" customHeight="1" x14ac:dyDescent="0.2">
      <c r="B619" s="4">
        <v>617</v>
      </c>
      <c r="C619" s="4">
        <v>3502131</v>
      </c>
      <c r="D619" s="2" t="s">
        <v>193</v>
      </c>
      <c r="E619" s="2" t="s">
        <v>193</v>
      </c>
      <c r="G619" s="1" t="str">
        <f>LEFT(الصنف[[#This Row],[تصنيف فرعي (2)]],4)</f>
        <v>3502</v>
      </c>
      <c r="H619" s="5" t="s">
        <v>1033</v>
      </c>
      <c r="I619" s="5" t="str">
        <f>LEFT(الصنف[[#This Row],[تصنيف فرعي (1)]],2)</f>
        <v>35</v>
      </c>
      <c r="J619" s="1" t="s">
        <v>901</v>
      </c>
      <c r="K619" s="1">
        <f>VLOOKUP(الصنف[[#This Row],[وحده القياس]],$S$4:$T$67,2,TRUE)</f>
        <v>43</v>
      </c>
      <c r="L619" s="1" t="s">
        <v>742</v>
      </c>
      <c r="M619" s="1">
        <v>1</v>
      </c>
      <c r="N619" s="6" t="s">
        <v>742</v>
      </c>
      <c r="O619" s="7"/>
      <c r="P619" s="9">
        <f>IF(الصنف[[#This Row],[وحده المكونات]]="جرام",1,0)</f>
        <v>0</v>
      </c>
    </row>
    <row r="620" spans="2:16" ht="20.100000000000001" customHeight="1" x14ac:dyDescent="0.2">
      <c r="B620" s="4">
        <v>618</v>
      </c>
      <c r="C620" s="4">
        <v>3502132</v>
      </c>
      <c r="D620" s="2" t="s">
        <v>202</v>
      </c>
      <c r="E620" s="2" t="s">
        <v>202</v>
      </c>
      <c r="G620" s="1" t="str">
        <f>LEFT(الصنف[[#This Row],[تصنيف فرعي (2)]],4)</f>
        <v>3502</v>
      </c>
      <c r="H620" s="5" t="s">
        <v>1033</v>
      </c>
      <c r="I620" s="5" t="str">
        <f>LEFT(الصنف[[#This Row],[تصنيف فرعي (1)]],2)</f>
        <v>35</v>
      </c>
      <c r="J620" s="1" t="s">
        <v>901</v>
      </c>
      <c r="K620" s="1">
        <f>VLOOKUP(الصنف[[#This Row],[وحده القياس]],$S$4:$T$67,2,TRUE)</f>
        <v>43</v>
      </c>
      <c r="L620" s="1" t="s">
        <v>742</v>
      </c>
      <c r="M620" s="1">
        <v>1</v>
      </c>
      <c r="N620" s="6" t="s">
        <v>742</v>
      </c>
      <c r="O620" s="7"/>
      <c r="P620" s="9">
        <f>IF(الصنف[[#This Row],[وحده المكونات]]="جرام",1,0)</f>
        <v>0</v>
      </c>
    </row>
    <row r="621" spans="2:16" ht="20.100000000000001" customHeight="1" x14ac:dyDescent="0.2">
      <c r="B621" s="4">
        <v>619</v>
      </c>
      <c r="C621" s="4">
        <v>3502133</v>
      </c>
      <c r="D621" s="2" t="s">
        <v>186</v>
      </c>
      <c r="E621" s="2" t="s">
        <v>186</v>
      </c>
      <c r="G621" s="1" t="str">
        <f>LEFT(الصنف[[#This Row],[تصنيف فرعي (2)]],4)</f>
        <v>3502</v>
      </c>
      <c r="H621" s="5" t="s">
        <v>1033</v>
      </c>
      <c r="I621" s="5" t="str">
        <f>LEFT(الصنف[[#This Row],[تصنيف فرعي (1)]],2)</f>
        <v>35</v>
      </c>
      <c r="J621" s="1" t="s">
        <v>901</v>
      </c>
      <c r="K621" s="1">
        <f>VLOOKUP(الصنف[[#This Row],[وحده القياس]],$S$4:$T$67,2,TRUE)</f>
        <v>43</v>
      </c>
      <c r="L621" s="1" t="s">
        <v>742</v>
      </c>
      <c r="M621" s="1">
        <v>1</v>
      </c>
      <c r="N621" s="6" t="s">
        <v>742</v>
      </c>
      <c r="O621" s="7"/>
      <c r="P621" s="9">
        <f>IF(الصنف[[#This Row],[وحده المكونات]]="جرام",1,0)</f>
        <v>0</v>
      </c>
    </row>
    <row r="622" spans="2:16" ht="20.100000000000001" customHeight="1" x14ac:dyDescent="0.2">
      <c r="B622" s="4">
        <v>620</v>
      </c>
      <c r="C622" s="4">
        <v>3502134</v>
      </c>
      <c r="D622" s="2" t="s">
        <v>170</v>
      </c>
      <c r="E622" s="2" t="s">
        <v>170</v>
      </c>
      <c r="G622" s="1" t="str">
        <f>LEFT(الصنف[[#This Row],[تصنيف فرعي (2)]],4)</f>
        <v>3502</v>
      </c>
      <c r="H622" s="5" t="s">
        <v>1033</v>
      </c>
      <c r="I622" s="5" t="str">
        <f>LEFT(الصنف[[#This Row],[تصنيف فرعي (1)]],2)</f>
        <v>35</v>
      </c>
      <c r="J622" s="1" t="s">
        <v>901</v>
      </c>
      <c r="K622" s="1">
        <f>VLOOKUP(الصنف[[#This Row],[وحده القياس]],$S$4:$T$67,2,TRUE)</f>
        <v>43</v>
      </c>
      <c r="L622" s="1" t="s">
        <v>742</v>
      </c>
      <c r="M622" s="1">
        <v>1</v>
      </c>
      <c r="N622" s="6" t="s">
        <v>742</v>
      </c>
      <c r="O622" s="7"/>
      <c r="P622" s="9">
        <f>IF(الصنف[[#This Row],[وحده المكونات]]="جرام",1,0)</f>
        <v>0</v>
      </c>
    </row>
    <row r="623" spans="2:16" ht="20.100000000000001" customHeight="1" x14ac:dyDescent="0.2">
      <c r="B623" s="4">
        <v>621</v>
      </c>
      <c r="C623" s="4">
        <v>3502135</v>
      </c>
      <c r="D623" s="2" t="s">
        <v>581</v>
      </c>
      <c r="E623" s="2" t="s">
        <v>581</v>
      </c>
      <c r="G623" s="1" t="str">
        <f>LEFT(الصنف[[#This Row],[تصنيف فرعي (2)]],4)</f>
        <v>3502</v>
      </c>
      <c r="H623" s="5" t="s">
        <v>1033</v>
      </c>
      <c r="I623" s="5" t="str">
        <f>LEFT(الصنف[[#This Row],[تصنيف فرعي (1)]],2)</f>
        <v>35</v>
      </c>
      <c r="J623" s="1" t="s">
        <v>901</v>
      </c>
      <c r="K623" s="1">
        <f>VLOOKUP(الصنف[[#This Row],[وحده القياس]],$S$4:$T$67,2,TRUE)</f>
        <v>43</v>
      </c>
      <c r="L623" s="1" t="s">
        <v>742</v>
      </c>
      <c r="M623" s="1">
        <v>1</v>
      </c>
      <c r="N623" s="6" t="s">
        <v>742</v>
      </c>
      <c r="O623" s="7"/>
      <c r="P623" s="9">
        <f>IF(الصنف[[#This Row],[وحده المكونات]]="جرام",1,0)</f>
        <v>0</v>
      </c>
    </row>
    <row r="624" spans="2:16" ht="20.100000000000001" customHeight="1" x14ac:dyDescent="0.2">
      <c r="B624" s="4">
        <v>622</v>
      </c>
      <c r="C624" s="4">
        <v>3502136</v>
      </c>
      <c r="D624" s="2" t="s">
        <v>553</v>
      </c>
      <c r="E624" s="2" t="s">
        <v>553</v>
      </c>
      <c r="G624" s="1" t="str">
        <f>LEFT(الصنف[[#This Row],[تصنيف فرعي (2)]],4)</f>
        <v>3502</v>
      </c>
      <c r="H624" s="5" t="s">
        <v>1033</v>
      </c>
      <c r="I624" s="5" t="str">
        <f>LEFT(الصنف[[#This Row],[تصنيف فرعي (1)]],2)</f>
        <v>35</v>
      </c>
      <c r="J624" s="1" t="s">
        <v>901</v>
      </c>
      <c r="K624" s="1">
        <f>VLOOKUP(الصنف[[#This Row],[وحده القياس]],$S$4:$T$67,2,TRUE)</f>
        <v>43</v>
      </c>
      <c r="L624" s="1" t="s">
        <v>742</v>
      </c>
      <c r="M624" s="1">
        <v>1</v>
      </c>
      <c r="N624" s="6" t="s">
        <v>742</v>
      </c>
      <c r="O624" s="7"/>
      <c r="P624" s="9">
        <f>IF(الصنف[[#This Row],[وحده المكونات]]="جرام",1,0)</f>
        <v>0</v>
      </c>
    </row>
    <row r="625" spans="2:16" ht="20.100000000000001" customHeight="1" x14ac:dyDescent="0.2">
      <c r="B625" s="4">
        <v>623</v>
      </c>
      <c r="C625" s="4">
        <v>3502137</v>
      </c>
      <c r="D625" s="2" t="s">
        <v>554</v>
      </c>
      <c r="E625" s="2" t="s">
        <v>554</v>
      </c>
      <c r="G625" s="1" t="str">
        <f>LEFT(الصنف[[#This Row],[تصنيف فرعي (2)]],4)</f>
        <v>3502</v>
      </c>
      <c r="H625" s="5" t="s">
        <v>1033</v>
      </c>
      <c r="I625" s="5" t="str">
        <f>LEFT(الصنف[[#This Row],[تصنيف فرعي (1)]],2)</f>
        <v>35</v>
      </c>
      <c r="J625" s="1" t="s">
        <v>901</v>
      </c>
      <c r="K625" s="1">
        <f>VLOOKUP(الصنف[[#This Row],[وحده القياس]],$S$4:$T$67,2,TRUE)</f>
        <v>43</v>
      </c>
      <c r="L625" s="1" t="s">
        <v>742</v>
      </c>
      <c r="M625" s="1">
        <v>1</v>
      </c>
      <c r="N625" s="6" t="s">
        <v>742</v>
      </c>
      <c r="O625" s="7"/>
      <c r="P625" s="9">
        <f>IF(الصنف[[#This Row],[وحده المكونات]]="جرام",1,0)</f>
        <v>0</v>
      </c>
    </row>
    <row r="626" spans="2:16" ht="20.100000000000001" customHeight="1" x14ac:dyDescent="0.2">
      <c r="B626" s="4">
        <v>624</v>
      </c>
      <c r="C626" s="4">
        <v>3502138</v>
      </c>
      <c r="D626" s="2" t="s">
        <v>156</v>
      </c>
      <c r="E626" s="2" t="s">
        <v>156</v>
      </c>
      <c r="G626" s="1" t="str">
        <f>LEFT(الصنف[[#This Row],[تصنيف فرعي (2)]],4)</f>
        <v>3502</v>
      </c>
      <c r="H626" s="5" t="s">
        <v>1033</v>
      </c>
      <c r="I626" s="5" t="str">
        <f>LEFT(الصنف[[#This Row],[تصنيف فرعي (1)]],2)</f>
        <v>35</v>
      </c>
      <c r="J626" s="1" t="s">
        <v>901</v>
      </c>
      <c r="K626" s="1">
        <f>VLOOKUP(الصنف[[#This Row],[وحده القياس]],$S$4:$T$67,2,TRUE)</f>
        <v>43</v>
      </c>
      <c r="L626" s="1" t="s">
        <v>742</v>
      </c>
      <c r="M626" s="1">
        <v>1</v>
      </c>
      <c r="N626" s="6" t="s">
        <v>742</v>
      </c>
      <c r="O626" s="7"/>
      <c r="P626" s="9">
        <f>IF(الصنف[[#This Row],[وحده المكونات]]="جرام",1,0)</f>
        <v>0</v>
      </c>
    </row>
    <row r="627" spans="2:16" ht="20.100000000000001" customHeight="1" x14ac:dyDescent="0.2">
      <c r="B627" s="4">
        <v>625</v>
      </c>
      <c r="C627" s="4">
        <v>3502139</v>
      </c>
      <c r="D627" s="2" t="s">
        <v>806</v>
      </c>
      <c r="E627" s="2" t="s">
        <v>715</v>
      </c>
      <c r="G627" s="1" t="str">
        <f>LEFT(الصنف[[#This Row],[تصنيف فرعي (2)]],4)</f>
        <v>3502</v>
      </c>
      <c r="H627" s="5" t="s">
        <v>1033</v>
      </c>
      <c r="I627" s="5" t="str">
        <f>LEFT(الصنف[[#This Row],[تصنيف فرعي (1)]],2)</f>
        <v>35</v>
      </c>
      <c r="J627" s="1" t="s">
        <v>901</v>
      </c>
      <c r="K627" s="1">
        <f>VLOOKUP(الصنف[[#This Row],[وحده القياس]],$S$4:$T$67,2,TRUE)</f>
        <v>43</v>
      </c>
      <c r="L627" s="1" t="s">
        <v>742</v>
      </c>
      <c r="M627" s="1">
        <v>1</v>
      </c>
      <c r="N627" s="6" t="s">
        <v>742</v>
      </c>
      <c r="O627" s="7"/>
      <c r="P627" s="9">
        <f>IF(الصنف[[#This Row],[وحده المكونات]]="جرام",1,0)</f>
        <v>0</v>
      </c>
    </row>
    <row r="628" spans="2:16" ht="20.100000000000001" customHeight="1" x14ac:dyDescent="0.2">
      <c r="B628" s="4">
        <v>626</v>
      </c>
      <c r="C628" s="4">
        <v>3502140</v>
      </c>
      <c r="D628" s="2" t="s">
        <v>276</v>
      </c>
      <c r="E628" s="2" t="s">
        <v>276</v>
      </c>
      <c r="G628" s="1" t="str">
        <f>LEFT(الصنف[[#This Row],[تصنيف فرعي (2)]],4)</f>
        <v>3502</v>
      </c>
      <c r="H628" s="5" t="s">
        <v>1033</v>
      </c>
      <c r="I628" s="5" t="str">
        <f>LEFT(الصنف[[#This Row],[تصنيف فرعي (1)]],2)</f>
        <v>35</v>
      </c>
      <c r="J628" s="1" t="s">
        <v>901</v>
      </c>
      <c r="K628" s="1">
        <f>VLOOKUP(الصنف[[#This Row],[وحده القياس]],$S$4:$T$67,2,TRUE)</f>
        <v>43</v>
      </c>
      <c r="L628" s="1" t="s">
        <v>742</v>
      </c>
      <c r="M628" s="1">
        <v>1</v>
      </c>
      <c r="N628" s="6" t="s">
        <v>742</v>
      </c>
      <c r="O628" s="7"/>
      <c r="P628" s="9">
        <f>IF(الصنف[[#This Row],[وحده المكونات]]="جرام",1,0)</f>
        <v>0</v>
      </c>
    </row>
    <row r="629" spans="2:16" ht="20.100000000000001" customHeight="1" x14ac:dyDescent="0.2">
      <c r="B629" s="4">
        <v>627</v>
      </c>
      <c r="C629" s="4">
        <v>3502141</v>
      </c>
      <c r="D629" s="2" t="s">
        <v>275</v>
      </c>
      <c r="E629" s="2" t="s">
        <v>275</v>
      </c>
      <c r="G629" s="1" t="str">
        <f>LEFT(الصنف[[#This Row],[تصنيف فرعي (2)]],4)</f>
        <v>3502</v>
      </c>
      <c r="H629" s="5" t="s">
        <v>1033</v>
      </c>
      <c r="I629" s="5" t="str">
        <f>LEFT(الصنف[[#This Row],[تصنيف فرعي (1)]],2)</f>
        <v>35</v>
      </c>
      <c r="J629" s="1" t="s">
        <v>901</v>
      </c>
      <c r="K629" s="1">
        <f>VLOOKUP(الصنف[[#This Row],[وحده القياس]],$S$4:$T$67,2,TRUE)</f>
        <v>43</v>
      </c>
      <c r="L629" s="1" t="s">
        <v>742</v>
      </c>
      <c r="M629" s="1">
        <v>1</v>
      </c>
      <c r="N629" s="6" t="s">
        <v>742</v>
      </c>
      <c r="O629" s="7"/>
      <c r="P629" s="9">
        <f>IF(الصنف[[#This Row],[وحده المكونات]]="جرام",1,0)</f>
        <v>0</v>
      </c>
    </row>
    <row r="630" spans="2:16" ht="20.100000000000001" customHeight="1" x14ac:dyDescent="0.2">
      <c r="B630" s="4">
        <v>628</v>
      </c>
      <c r="C630" s="4">
        <v>3502142</v>
      </c>
      <c r="D630" s="2" t="s">
        <v>277</v>
      </c>
      <c r="E630" s="2" t="s">
        <v>277</v>
      </c>
      <c r="G630" s="1" t="str">
        <f>LEFT(الصنف[[#This Row],[تصنيف فرعي (2)]],4)</f>
        <v>3502</v>
      </c>
      <c r="H630" s="5" t="s">
        <v>1033</v>
      </c>
      <c r="I630" s="5" t="str">
        <f>LEFT(الصنف[[#This Row],[تصنيف فرعي (1)]],2)</f>
        <v>35</v>
      </c>
      <c r="J630" s="1" t="s">
        <v>901</v>
      </c>
      <c r="K630" s="1">
        <f>VLOOKUP(الصنف[[#This Row],[وحده القياس]],$S$4:$T$67,2,TRUE)</f>
        <v>43</v>
      </c>
      <c r="L630" s="1" t="s">
        <v>742</v>
      </c>
      <c r="M630" s="1">
        <v>1</v>
      </c>
      <c r="N630" s="6" t="s">
        <v>742</v>
      </c>
      <c r="O630" s="7"/>
      <c r="P630" s="9">
        <f>IF(الصنف[[#This Row],[وحده المكونات]]="جرام",1,0)</f>
        <v>0</v>
      </c>
    </row>
    <row r="631" spans="2:16" ht="20.100000000000001" customHeight="1" x14ac:dyDescent="0.2">
      <c r="B631" s="4">
        <v>629</v>
      </c>
      <c r="C631" s="4">
        <v>3502143</v>
      </c>
      <c r="D631" s="2" t="s">
        <v>210</v>
      </c>
      <c r="E631" s="2" t="s">
        <v>210</v>
      </c>
      <c r="G631" s="1" t="str">
        <f>LEFT(الصنف[[#This Row],[تصنيف فرعي (2)]],4)</f>
        <v>3502</v>
      </c>
      <c r="H631" s="5" t="s">
        <v>1033</v>
      </c>
      <c r="I631" s="5" t="str">
        <f>LEFT(الصنف[[#This Row],[تصنيف فرعي (1)]],2)</f>
        <v>35</v>
      </c>
      <c r="J631" s="1" t="s">
        <v>901</v>
      </c>
      <c r="K631" s="1">
        <f>VLOOKUP(الصنف[[#This Row],[وحده القياس]],$S$4:$T$67,2,TRUE)</f>
        <v>43</v>
      </c>
      <c r="L631" s="1" t="s">
        <v>742</v>
      </c>
      <c r="M631" s="1">
        <v>1</v>
      </c>
      <c r="N631" s="6" t="s">
        <v>742</v>
      </c>
      <c r="O631" s="7"/>
      <c r="P631" s="9">
        <f>IF(الصنف[[#This Row],[وحده المكونات]]="جرام",1,0)</f>
        <v>0</v>
      </c>
    </row>
    <row r="632" spans="2:16" ht="20.100000000000001" customHeight="1" x14ac:dyDescent="0.2">
      <c r="B632" s="4">
        <v>630</v>
      </c>
      <c r="C632" s="4">
        <v>3502144</v>
      </c>
      <c r="D632" s="2" t="s">
        <v>283</v>
      </c>
      <c r="E632" s="2" t="s">
        <v>283</v>
      </c>
      <c r="G632" s="1" t="str">
        <f>LEFT(الصنف[[#This Row],[تصنيف فرعي (2)]],4)</f>
        <v>3502</v>
      </c>
      <c r="H632" s="5" t="s">
        <v>1033</v>
      </c>
      <c r="I632" s="5" t="str">
        <f>LEFT(الصنف[[#This Row],[تصنيف فرعي (1)]],2)</f>
        <v>35</v>
      </c>
      <c r="J632" s="1" t="s">
        <v>901</v>
      </c>
      <c r="K632" s="1">
        <f>VLOOKUP(الصنف[[#This Row],[وحده القياس]],$S$4:$T$67,2,TRUE)</f>
        <v>43</v>
      </c>
      <c r="L632" s="1" t="s">
        <v>742</v>
      </c>
      <c r="M632" s="1">
        <v>1</v>
      </c>
      <c r="N632" s="6" t="s">
        <v>742</v>
      </c>
      <c r="O632" s="7"/>
      <c r="P632" s="9">
        <f>IF(الصنف[[#This Row],[وحده المكونات]]="جرام",1,0)</f>
        <v>0</v>
      </c>
    </row>
    <row r="633" spans="2:16" ht="20.100000000000001" customHeight="1" x14ac:dyDescent="0.2">
      <c r="B633" s="4">
        <v>631</v>
      </c>
      <c r="C633" s="4">
        <v>3502145</v>
      </c>
      <c r="D633" s="2" t="s">
        <v>139</v>
      </c>
      <c r="E633" s="2" t="s">
        <v>139</v>
      </c>
      <c r="G633" s="1" t="str">
        <f>LEFT(الصنف[[#This Row],[تصنيف فرعي (2)]],4)</f>
        <v>3502</v>
      </c>
      <c r="H633" s="5" t="s">
        <v>1033</v>
      </c>
      <c r="I633" s="5" t="str">
        <f>LEFT(الصنف[[#This Row],[تصنيف فرعي (1)]],2)</f>
        <v>35</v>
      </c>
      <c r="J633" s="1" t="s">
        <v>901</v>
      </c>
      <c r="K633" s="1">
        <f>VLOOKUP(الصنف[[#This Row],[وحده القياس]],$S$4:$T$67,2,TRUE)</f>
        <v>43</v>
      </c>
      <c r="L633" s="1" t="s">
        <v>742</v>
      </c>
      <c r="M633" s="1">
        <v>1</v>
      </c>
      <c r="N633" s="6" t="s">
        <v>742</v>
      </c>
      <c r="O633" s="7"/>
      <c r="P633" s="9">
        <f>IF(الصنف[[#This Row],[وحده المكونات]]="جرام",1,0)</f>
        <v>0</v>
      </c>
    </row>
    <row r="634" spans="2:16" ht="20.100000000000001" customHeight="1" x14ac:dyDescent="0.2">
      <c r="B634" s="4">
        <v>632</v>
      </c>
      <c r="C634" s="4">
        <v>3502146</v>
      </c>
      <c r="D634" s="2" t="s">
        <v>203</v>
      </c>
      <c r="E634" s="2" t="s">
        <v>203</v>
      </c>
      <c r="G634" s="1" t="str">
        <f>LEFT(الصنف[[#This Row],[تصنيف فرعي (2)]],4)</f>
        <v>3502</v>
      </c>
      <c r="H634" s="5" t="s">
        <v>1033</v>
      </c>
      <c r="I634" s="5" t="str">
        <f>LEFT(الصنف[[#This Row],[تصنيف فرعي (1)]],2)</f>
        <v>35</v>
      </c>
      <c r="J634" s="1" t="s">
        <v>901</v>
      </c>
      <c r="K634" s="1">
        <f>VLOOKUP(الصنف[[#This Row],[وحده القياس]],$S$4:$T$67,2,TRUE)</f>
        <v>43</v>
      </c>
      <c r="L634" s="1" t="s">
        <v>742</v>
      </c>
      <c r="M634" s="1">
        <v>1</v>
      </c>
      <c r="N634" s="6" t="s">
        <v>742</v>
      </c>
      <c r="O634" s="7"/>
      <c r="P634" s="9">
        <f>IF(الصنف[[#This Row],[وحده المكونات]]="جرام",1,0)</f>
        <v>0</v>
      </c>
    </row>
    <row r="635" spans="2:16" ht="20.100000000000001" customHeight="1" x14ac:dyDescent="0.2">
      <c r="B635" s="4">
        <v>633</v>
      </c>
      <c r="C635" s="4">
        <v>3502147</v>
      </c>
      <c r="D635" s="2" t="s">
        <v>370</v>
      </c>
      <c r="E635" s="2" t="s">
        <v>370</v>
      </c>
      <c r="G635" s="1" t="str">
        <f>LEFT(الصنف[[#This Row],[تصنيف فرعي (2)]],4)</f>
        <v>3502</v>
      </c>
      <c r="H635" s="5" t="s">
        <v>1033</v>
      </c>
      <c r="I635" s="5" t="str">
        <f>LEFT(الصنف[[#This Row],[تصنيف فرعي (1)]],2)</f>
        <v>35</v>
      </c>
      <c r="J635" s="1" t="s">
        <v>901</v>
      </c>
      <c r="K635" s="1">
        <f>VLOOKUP(الصنف[[#This Row],[وحده القياس]],$S$4:$T$67,2,TRUE)</f>
        <v>43</v>
      </c>
      <c r="L635" s="1" t="s">
        <v>742</v>
      </c>
      <c r="M635" s="1">
        <v>1</v>
      </c>
      <c r="N635" s="6" t="s">
        <v>742</v>
      </c>
      <c r="O635" s="7"/>
      <c r="P635" s="9">
        <f>IF(الصنف[[#This Row],[وحده المكونات]]="جرام",1,0)</f>
        <v>0</v>
      </c>
    </row>
    <row r="636" spans="2:16" ht="20.100000000000001" customHeight="1" x14ac:dyDescent="0.2">
      <c r="B636" s="4">
        <v>634</v>
      </c>
      <c r="C636" s="4">
        <v>3502148</v>
      </c>
      <c r="D636" s="2" t="s">
        <v>153</v>
      </c>
      <c r="E636" s="2" t="s">
        <v>153</v>
      </c>
      <c r="G636" s="1" t="str">
        <f>LEFT(الصنف[[#This Row],[تصنيف فرعي (2)]],4)</f>
        <v>3502</v>
      </c>
      <c r="H636" s="5" t="s">
        <v>1033</v>
      </c>
      <c r="I636" s="5" t="str">
        <f>LEFT(الصنف[[#This Row],[تصنيف فرعي (1)]],2)</f>
        <v>35</v>
      </c>
      <c r="J636" s="1" t="s">
        <v>901</v>
      </c>
      <c r="K636" s="1">
        <f>VLOOKUP(الصنف[[#This Row],[وحده القياس]],$S$4:$T$67,2,TRUE)</f>
        <v>43</v>
      </c>
      <c r="L636" s="1" t="s">
        <v>742</v>
      </c>
      <c r="M636" s="1">
        <v>1</v>
      </c>
      <c r="N636" s="6" t="s">
        <v>742</v>
      </c>
      <c r="O636" s="7"/>
      <c r="P636" s="9">
        <f>IF(الصنف[[#This Row],[وحده المكونات]]="جرام",1,0)</f>
        <v>0</v>
      </c>
    </row>
    <row r="637" spans="2:16" ht="20.100000000000001" customHeight="1" x14ac:dyDescent="0.2">
      <c r="B637" s="4">
        <v>635</v>
      </c>
      <c r="C637" s="4">
        <v>3502149</v>
      </c>
      <c r="D637" s="2" t="s">
        <v>555</v>
      </c>
      <c r="E637" s="2" t="s">
        <v>555</v>
      </c>
      <c r="G637" s="1" t="str">
        <f>LEFT(الصنف[[#This Row],[تصنيف فرعي (2)]],4)</f>
        <v>3502</v>
      </c>
      <c r="H637" s="5" t="s">
        <v>1033</v>
      </c>
      <c r="I637" s="5" t="str">
        <f>LEFT(الصنف[[#This Row],[تصنيف فرعي (1)]],2)</f>
        <v>35</v>
      </c>
      <c r="J637" s="1" t="s">
        <v>901</v>
      </c>
      <c r="K637" s="1">
        <f>VLOOKUP(الصنف[[#This Row],[وحده القياس]],$S$4:$T$67,2,TRUE)</f>
        <v>43</v>
      </c>
      <c r="L637" s="1" t="s">
        <v>742</v>
      </c>
      <c r="M637" s="1">
        <v>1</v>
      </c>
      <c r="N637" s="6" t="s">
        <v>742</v>
      </c>
      <c r="O637" s="7"/>
      <c r="P637" s="9">
        <f>IF(الصنف[[#This Row],[وحده المكونات]]="جرام",1,0)</f>
        <v>0</v>
      </c>
    </row>
    <row r="638" spans="2:16" ht="20.100000000000001" customHeight="1" x14ac:dyDescent="0.2">
      <c r="B638" s="4">
        <v>636</v>
      </c>
      <c r="C638" s="4">
        <v>3502150</v>
      </c>
      <c r="D638" s="2" t="s">
        <v>288</v>
      </c>
      <c r="E638" s="2" t="s">
        <v>288</v>
      </c>
      <c r="G638" s="1" t="str">
        <f>LEFT(الصنف[[#This Row],[تصنيف فرعي (2)]],4)</f>
        <v>3502</v>
      </c>
      <c r="H638" s="5" t="s">
        <v>1033</v>
      </c>
      <c r="I638" s="5" t="str">
        <f>LEFT(الصنف[[#This Row],[تصنيف فرعي (1)]],2)</f>
        <v>35</v>
      </c>
      <c r="J638" s="1" t="s">
        <v>901</v>
      </c>
      <c r="K638" s="1">
        <f>VLOOKUP(الصنف[[#This Row],[وحده القياس]],$S$4:$T$67,2,TRUE)</f>
        <v>43</v>
      </c>
      <c r="L638" s="1" t="s">
        <v>742</v>
      </c>
      <c r="M638" s="1">
        <v>1</v>
      </c>
      <c r="N638" s="6" t="s">
        <v>742</v>
      </c>
      <c r="O638" s="7"/>
      <c r="P638" s="9">
        <f>IF(الصنف[[#This Row],[وحده المكونات]]="جرام",1,0)</f>
        <v>0</v>
      </c>
    </row>
    <row r="639" spans="2:16" ht="20.100000000000001" customHeight="1" x14ac:dyDescent="0.2">
      <c r="B639" s="4">
        <v>637</v>
      </c>
      <c r="C639" s="4">
        <v>3502151</v>
      </c>
      <c r="D639" s="2" t="s">
        <v>287</v>
      </c>
      <c r="E639" s="2" t="s">
        <v>287</v>
      </c>
      <c r="G639" s="1" t="str">
        <f>LEFT(الصنف[[#This Row],[تصنيف فرعي (2)]],4)</f>
        <v>3502</v>
      </c>
      <c r="H639" s="5" t="s">
        <v>1033</v>
      </c>
      <c r="I639" s="5" t="str">
        <f>LEFT(الصنف[[#This Row],[تصنيف فرعي (1)]],2)</f>
        <v>35</v>
      </c>
      <c r="J639" s="1" t="s">
        <v>901</v>
      </c>
      <c r="K639" s="1">
        <f>VLOOKUP(الصنف[[#This Row],[وحده القياس]],$S$4:$T$67,2,TRUE)</f>
        <v>43</v>
      </c>
      <c r="L639" s="1" t="s">
        <v>742</v>
      </c>
      <c r="M639" s="1">
        <v>1</v>
      </c>
      <c r="N639" s="6" t="s">
        <v>742</v>
      </c>
      <c r="O639" s="7"/>
      <c r="P639" s="9">
        <f>IF(الصنف[[#This Row],[وحده المكونات]]="جرام",1,0)</f>
        <v>0</v>
      </c>
    </row>
    <row r="640" spans="2:16" ht="20.100000000000001" customHeight="1" x14ac:dyDescent="0.2">
      <c r="B640" s="4">
        <v>638</v>
      </c>
      <c r="C640" s="4">
        <v>3502152</v>
      </c>
      <c r="D640" s="2" t="s">
        <v>160</v>
      </c>
      <c r="E640" s="2" t="s">
        <v>160</v>
      </c>
      <c r="G640" s="1" t="str">
        <f>LEFT(الصنف[[#This Row],[تصنيف فرعي (2)]],4)</f>
        <v>3502</v>
      </c>
      <c r="H640" s="5" t="s">
        <v>1033</v>
      </c>
      <c r="I640" s="5" t="str">
        <f>LEFT(الصنف[[#This Row],[تصنيف فرعي (1)]],2)</f>
        <v>35</v>
      </c>
      <c r="J640" s="1" t="s">
        <v>901</v>
      </c>
      <c r="K640" s="1">
        <f>VLOOKUP(الصنف[[#This Row],[وحده القياس]],$S$4:$T$67,2,TRUE)</f>
        <v>43</v>
      </c>
      <c r="L640" s="1" t="s">
        <v>742</v>
      </c>
      <c r="M640" s="1">
        <v>1</v>
      </c>
      <c r="N640" s="6" t="s">
        <v>742</v>
      </c>
      <c r="O640" s="7"/>
      <c r="P640" s="9">
        <f>IF(الصنف[[#This Row],[وحده المكونات]]="جرام",1,0)</f>
        <v>0</v>
      </c>
    </row>
    <row r="641" spans="2:16" ht="20.100000000000001" customHeight="1" x14ac:dyDescent="0.2">
      <c r="B641" s="4">
        <v>639</v>
      </c>
      <c r="C641" s="4">
        <v>3502153</v>
      </c>
      <c r="D641" s="2" t="s">
        <v>189</v>
      </c>
      <c r="E641" s="2" t="s">
        <v>189</v>
      </c>
      <c r="G641" s="1" t="str">
        <f>LEFT(الصنف[[#This Row],[تصنيف فرعي (2)]],4)</f>
        <v>3502</v>
      </c>
      <c r="H641" s="5" t="s">
        <v>1033</v>
      </c>
      <c r="I641" s="5" t="str">
        <f>LEFT(الصنف[[#This Row],[تصنيف فرعي (1)]],2)</f>
        <v>35</v>
      </c>
      <c r="J641" s="1" t="s">
        <v>901</v>
      </c>
      <c r="K641" s="1">
        <f>VLOOKUP(الصنف[[#This Row],[وحده القياس]],$S$4:$T$67,2,TRUE)</f>
        <v>43</v>
      </c>
      <c r="L641" s="1" t="s">
        <v>742</v>
      </c>
      <c r="M641" s="1">
        <v>1</v>
      </c>
      <c r="N641" s="6" t="s">
        <v>742</v>
      </c>
      <c r="O641" s="7"/>
      <c r="P641" s="9">
        <f>IF(الصنف[[#This Row],[وحده المكونات]]="جرام",1,0)</f>
        <v>0</v>
      </c>
    </row>
    <row r="642" spans="2:16" ht="20.100000000000001" customHeight="1" x14ac:dyDescent="0.2">
      <c r="B642" s="4">
        <v>640</v>
      </c>
      <c r="C642" s="4">
        <v>3502154</v>
      </c>
      <c r="D642" s="2" t="s">
        <v>168</v>
      </c>
      <c r="E642" s="2" t="s">
        <v>168</v>
      </c>
      <c r="G642" s="1" t="str">
        <f>LEFT(الصنف[[#This Row],[تصنيف فرعي (2)]],4)</f>
        <v>3502</v>
      </c>
      <c r="H642" s="5" t="s">
        <v>1033</v>
      </c>
      <c r="I642" s="5" t="str">
        <f>LEFT(الصنف[[#This Row],[تصنيف فرعي (1)]],2)</f>
        <v>35</v>
      </c>
      <c r="J642" s="1" t="s">
        <v>901</v>
      </c>
      <c r="K642" s="1">
        <f>VLOOKUP(الصنف[[#This Row],[وحده القياس]],$S$4:$T$67,2,TRUE)</f>
        <v>43</v>
      </c>
      <c r="L642" s="1" t="s">
        <v>742</v>
      </c>
      <c r="M642" s="1">
        <v>1</v>
      </c>
      <c r="N642" s="6" t="s">
        <v>742</v>
      </c>
      <c r="O642" s="7"/>
      <c r="P642" s="9">
        <f>IF(الصنف[[#This Row],[وحده المكونات]]="جرام",1,0)</f>
        <v>0</v>
      </c>
    </row>
    <row r="643" spans="2:16" ht="20.100000000000001" customHeight="1" x14ac:dyDescent="0.2">
      <c r="B643" s="4">
        <v>641</v>
      </c>
      <c r="C643" s="4">
        <v>3502155</v>
      </c>
      <c r="D643" s="2" t="s">
        <v>162</v>
      </c>
      <c r="E643" s="2" t="s">
        <v>162</v>
      </c>
      <c r="G643" s="1" t="str">
        <f>LEFT(الصنف[[#This Row],[تصنيف فرعي (2)]],4)</f>
        <v>3502</v>
      </c>
      <c r="H643" s="5" t="s">
        <v>1033</v>
      </c>
      <c r="I643" s="5" t="str">
        <f>LEFT(الصنف[[#This Row],[تصنيف فرعي (1)]],2)</f>
        <v>35</v>
      </c>
      <c r="J643" s="1" t="s">
        <v>901</v>
      </c>
      <c r="K643" s="1">
        <f>VLOOKUP(الصنف[[#This Row],[وحده القياس]],$S$4:$T$67,2,TRUE)</f>
        <v>43</v>
      </c>
      <c r="L643" s="1" t="s">
        <v>742</v>
      </c>
      <c r="M643" s="1">
        <v>1</v>
      </c>
      <c r="N643" s="6" t="s">
        <v>742</v>
      </c>
      <c r="O643" s="7"/>
      <c r="P643" s="9">
        <f>IF(الصنف[[#This Row],[وحده المكونات]]="جرام",1,0)</f>
        <v>0</v>
      </c>
    </row>
    <row r="644" spans="2:16" ht="20.100000000000001" customHeight="1" x14ac:dyDescent="0.2">
      <c r="B644" s="4">
        <v>642</v>
      </c>
      <c r="C644" s="4">
        <v>3502156</v>
      </c>
      <c r="D644" s="2" t="s">
        <v>163</v>
      </c>
      <c r="E644" s="2" t="s">
        <v>163</v>
      </c>
      <c r="G644" s="1" t="str">
        <f>LEFT(الصنف[[#This Row],[تصنيف فرعي (2)]],4)</f>
        <v>3502</v>
      </c>
      <c r="H644" s="5" t="s">
        <v>1033</v>
      </c>
      <c r="I644" s="5" t="str">
        <f>LEFT(الصنف[[#This Row],[تصنيف فرعي (1)]],2)</f>
        <v>35</v>
      </c>
      <c r="J644" s="1" t="s">
        <v>901</v>
      </c>
      <c r="K644" s="1">
        <f>VLOOKUP(الصنف[[#This Row],[وحده القياس]],$S$4:$T$67,2,TRUE)</f>
        <v>43</v>
      </c>
      <c r="L644" s="1" t="s">
        <v>742</v>
      </c>
      <c r="M644" s="1">
        <v>1</v>
      </c>
      <c r="N644" s="6" t="s">
        <v>742</v>
      </c>
      <c r="O644" s="7"/>
      <c r="P644" s="9">
        <f>IF(الصنف[[#This Row],[وحده المكونات]]="جرام",1,0)</f>
        <v>0</v>
      </c>
    </row>
    <row r="645" spans="2:16" ht="20.100000000000001" customHeight="1" x14ac:dyDescent="0.2">
      <c r="B645" s="4">
        <v>643</v>
      </c>
      <c r="C645" s="4">
        <v>3502157</v>
      </c>
      <c r="D645" s="2" t="s">
        <v>179</v>
      </c>
      <c r="E645" s="2" t="s">
        <v>179</v>
      </c>
      <c r="G645" s="1" t="str">
        <f>LEFT(الصنف[[#This Row],[تصنيف فرعي (2)]],4)</f>
        <v>3502</v>
      </c>
      <c r="H645" s="5" t="s">
        <v>1033</v>
      </c>
      <c r="I645" s="5" t="str">
        <f>LEFT(الصنف[[#This Row],[تصنيف فرعي (1)]],2)</f>
        <v>35</v>
      </c>
      <c r="J645" s="1" t="s">
        <v>901</v>
      </c>
      <c r="K645" s="1">
        <f>VLOOKUP(الصنف[[#This Row],[وحده القياس]],$S$4:$T$67,2,TRUE)</f>
        <v>43</v>
      </c>
      <c r="L645" s="1" t="s">
        <v>742</v>
      </c>
      <c r="M645" s="1">
        <v>1</v>
      </c>
      <c r="N645" s="6" t="s">
        <v>742</v>
      </c>
      <c r="O645" s="7"/>
      <c r="P645" s="9">
        <f>IF(الصنف[[#This Row],[وحده المكونات]]="جرام",1,0)</f>
        <v>0</v>
      </c>
    </row>
    <row r="646" spans="2:16" ht="20.100000000000001" customHeight="1" x14ac:dyDescent="0.2">
      <c r="B646" s="4">
        <v>644</v>
      </c>
      <c r="C646" s="4">
        <v>3502158</v>
      </c>
      <c r="D646" s="2" t="s">
        <v>811</v>
      </c>
      <c r="E646" s="2" t="s">
        <v>188</v>
      </c>
      <c r="G646" s="1" t="str">
        <f>LEFT(الصنف[[#This Row],[تصنيف فرعي (2)]],4)</f>
        <v>3502</v>
      </c>
      <c r="H646" s="5" t="s">
        <v>1033</v>
      </c>
      <c r="I646" s="5" t="str">
        <f>LEFT(الصنف[[#This Row],[تصنيف فرعي (1)]],2)</f>
        <v>35</v>
      </c>
      <c r="J646" s="1" t="s">
        <v>901</v>
      </c>
      <c r="K646" s="1">
        <f>VLOOKUP(الصنف[[#This Row],[وحده القياس]],$S$4:$T$67,2,TRUE)</f>
        <v>43</v>
      </c>
      <c r="L646" s="1" t="s">
        <v>742</v>
      </c>
      <c r="M646" s="1">
        <v>1</v>
      </c>
      <c r="N646" s="6" t="s">
        <v>742</v>
      </c>
      <c r="O646" s="7"/>
      <c r="P646" s="9">
        <f>IF(الصنف[[#This Row],[وحده المكونات]]="جرام",1,0)</f>
        <v>0</v>
      </c>
    </row>
    <row r="647" spans="2:16" ht="20.100000000000001" customHeight="1" x14ac:dyDescent="0.2">
      <c r="B647" s="4">
        <v>645</v>
      </c>
      <c r="C647" s="4">
        <v>3502159</v>
      </c>
      <c r="D647" s="2" t="s">
        <v>812</v>
      </c>
      <c r="E647" s="2" t="s">
        <v>187</v>
      </c>
      <c r="G647" s="1" t="str">
        <f>LEFT(الصنف[[#This Row],[تصنيف فرعي (2)]],4)</f>
        <v>3502</v>
      </c>
      <c r="H647" s="5" t="s">
        <v>1033</v>
      </c>
      <c r="I647" s="5" t="str">
        <f>LEFT(الصنف[[#This Row],[تصنيف فرعي (1)]],2)</f>
        <v>35</v>
      </c>
      <c r="J647" s="1" t="s">
        <v>901</v>
      </c>
      <c r="K647" s="1">
        <f>VLOOKUP(الصنف[[#This Row],[وحده القياس]],$S$4:$T$67,2,TRUE)</f>
        <v>43</v>
      </c>
      <c r="L647" s="1" t="s">
        <v>742</v>
      </c>
      <c r="M647" s="1">
        <v>1</v>
      </c>
      <c r="N647" s="6" t="s">
        <v>742</v>
      </c>
      <c r="O647" s="7"/>
      <c r="P647" s="9">
        <f>IF(الصنف[[#This Row],[وحده المكونات]]="جرام",1,0)</f>
        <v>0</v>
      </c>
    </row>
    <row r="648" spans="2:16" ht="20.100000000000001" customHeight="1" x14ac:dyDescent="0.2">
      <c r="B648" s="4">
        <v>646</v>
      </c>
      <c r="C648" s="4">
        <v>3502160</v>
      </c>
      <c r="D648" s="2" t="s">
        <v>807</v>
      </c>
      <c r="E648" s="2" t="s">
        <v>703</v>
      </c>
      <c r="G648" s="1" t="str">
        <f>LEFT(الصنف[[#This Row],[تصنيف فرعي (2)]],4)</f>
        <v>3502</v>
      </c>
      <c r="H648" s="5" t="s">
        <v>1033</v>
      </c>
      <c r="I648" s="5" t="str">
        <f>LEFT(الصنف[[#This Row],[تصنيف فرعي (1)]],2)</f>
        <v>35</v>
      </c>
      <c r="J648" s="1" t="s">
        <v>901</v>
      </c>
      <c r="K648" s="1">
        <f>VLOOKUP(الصنف[[#This Row],[وحده القياس]],$S$4:$T$67,2,TRUE)</f>
        <v>43</v>
      </c>
      <c r="L648" s="1" t="s">
        <v>742</v>
      </c>
      <c r="M648" s="1">
        <v>1</v>
      </c>
      <c r="N648" s="6" t="s">
        <v>742</v>
      </c>
      <c r="O648" s="7"/>
      <c r="P648" s="9">
        <f>IF(الصنف[[#This Row],[وحده المكونات]]="جرام",1,0)</f>
        <v>0</v>
      </c>
    </row>
    <row r="649" spans="2:16" ht="20.100000000000001" customHeight="1" x14ac:dyDescent="0.2">
      <c r="B649" s="4">
        <v>647</v>
      </c>
      <c r="C649" s="4">
        <v>3502161</v>
      </c>
      <c r="D649" s="2" t="s">
        <v>808</v>
      </c>
      <c r="E649" s="2" t="s">
        <v>704</v>
      </c>
      <c r="G649" s="1" t="str">
        <f>LEFT(الصنف[[#This Row],[تصنيف فرعي (2)]],4)</f>
        <v>3502</v>
      </c>
      <c r="H649" s="5" t="s">
        <v>1033</v>
      </c>
      <c r="I649" s="5" t="str">
        <f>LEFT(الصنف[[#This Row],[تصنيف فرعي (1)]],2)</f>
        <v>35</v>
      </c>
      <c r="J649" s="1" t="s">
        <v>901</v>
      </c>
      <c r="K649" s="1">
        <f>VLOOKUP(الصنف[[#This Row],[وحده القياس]],$S$4:$T$67,2,TRUE)</f>
        <v>43</v>
      </c>
      <c r="L649" s="1" t="s">
        <v>742</v>
      </c>
      <c r="M649" s="1">
        <v>1</v>
      </c>
      <c r="N649" s="6" t="s">
        <v>742</v>
      </c>
      <c r="O649" s="7"/>
      <c r="P649" s="9">
        <f>IF(الصنف[[#This Row],[وحده المكونات]]="جرام",1,0)</f>
        <v>0</v>
      </c>
    </row>
    <row r="650" spans="2:16" ht="20.100000000000001" customHeight="1" x14ac:dyDescent="0.2">
      <c r="B650" s="4">
        <v>648</v>
      </c>
      <c r="C650" s="4">
        <v>3502162</v>
      </c>
      <c r="D650" s="2" t="s">
        <v>809</v>
      </c>
      <c r="E650" s="2" t="s">
        <v>705</v>
      </c>
      <c r="G650" s="1" t="str">
        <f>LEFT(الصنف[[#This Row],[تصنيف فرعي (2)]],4)</f>
        <v>3502</v>
      </c>
      <c r="H650" s="5" t="s">
        <v>1033</v>
      </c>
      <c r="I650" s="5" t="str">
        <f>LEFT(الصنف[[#This Row],[تصنيف فرعي (1)]],2)</f>
        <v>35</v>
      </c>
      <c r="J650" s="1" t="s">
        <v>901</v>
      </c>
      <c r="K650" s="1">
        <f>VLOOKUP(الصنف[[#This Row],[وحده القياس]],$S$4:$T$67,2,TRUE)</f>
        <v>43</v>
      </c>
      <c r="L650" s="1" t="s">
        <v>742</v>
      </c>
      <c r="M650" s="1">
        <v>1</v>
      </c>
      <c r="N650" s="6" t="s">
        <v>742</v>
      </c>
      <c r="O650" s="7"/>
      <c r="P650" s="9">
        <f>IF(الصنف[[#This Row],[وحده المكونات]]="جرام",1,0)</f>
        <v>0</v>
      </c>
    </row>
    <row r="651" spans="2:16" ht="20.100000000000001" customHeight="1" x14ac:dyDescent="0.2">
      <c r="B651" s="4">
        <v>649</v>
      </c>
      <c r="C651" s="4">
        <v>3502163</v>
      </c>
      <c r="D651" s="2" t="s">
        <v>810</v>
      </c>
      <c r="E651" s="2" t="s">
        <v>706</v>
      </c>
      <c r="G651" s="1" t="str">
        <f>LEFT(الصنف[[#This Row],[تصنيف فرعي (2)]],4)</f>
        <v>3502</v>
      </c>
      <c r="H651" s="5" t="s">
        <v>1033</v>
      </c>
      <c r="I651" s="5" t="str">
        <f>LEFT(الصنف[[#This Row],[تصنيف فرعي (1)]],2)</f>
        <v>35</v>
      </c>
      <c r="J651" s="1" t="s">
        <v>901</v>
      </c>
      <c r="K651" s="1">
        <f>VLOOKUP(الصنف[[#This Row],[وحده القياس]],$S$4:$T$67,2,TRUE)</f>
        <v>43</v>
      </c>
      <c r="L651" s="1" t="s">
        <v>742</v>
      </c>
      <c r="M651" s="1">
        <v>1</v>
      </c>
      <c r="N651" s="6" t="s">
        <v>742</v>
      </c>
      <c r="O651" s="7"/>
      <c r="P651" s="9">
        <f>IF(الصنف[[#This Row],[وحده المكونات]]="جرام",1,0)</f>
        <v>0</v>
      </c>
    </row>
    <row r="652" spans="2:16" ht="20.100000000000001" customHeight="1" x14ac:dyDescent="0.2">
      <c r="B652" s="4">
        <v>650</v>
      </c>
      <c r="C652" s="4">
        <v>3502164</v>
      </c>
      <c r="D652" s="2" t="s">
        <v>131</v>
      </c>
      <c r="E652" s="2" t="s">
        <v>131</v>
      </c>
      <c r="G652" s="1" t="str">
        <f>LEFT(الصنف[[#This Row],[تصنيف فرعي (2)]],4)</f>
        <v>3502</v>
      </c>
      <c r="H652" s="5" t="s">
        <v>1033</v>
      </c>
      <c r="I652" s="5" t="str">
        <f>LEFT(الصنف[[#This Row],[تصنيف فرعي (1)]],2)</f>
        <v>35</v>
      </c>
      <c r="J652" s="1" t="s">
        <v>901</v>
      </c>
      <c r="K652" s="1">
        <f>VLOOKUP(الصنف[[#This Row],[وحده القياس]],$S$4:$T$67,2,TRUE)</f>
        <v>43</v>
      </c>
      <c r="L652" s="1" t="s">
        <v>742</v>
      </c>
      <c r="M652" s="1">
        <v>1</v>
      </c>
      <c r="N652" s="6" t="s">
        <v>742</v>
      </c>
      <c r="O652" s="7"/>
      <c r="P652" s="9">
        <f>IF(الصنف[[#This Row],[وحده المكونات]]="جرام",1,0)</f>
        <v>0</v>
      </c>
    </row>
    <row r="653" spans="2:16" ht="20.100000000000001" customHeight="1" x14ac:dyDescent="0.2">
      <c r="B653" s="4">
        <v>651</v>
      </c>
      <c r="C653" s="4">
        <v>3601001</v>
      </c>
      <c r="D653" s="2" t="s">
        <v>452</v>
      </c>
      <c r="E653" s="2" t="s">
        <v>452</v>
      </c>
      <c r="G653" s="1" t="str">
        <f>LEFT(الصنف[[#This Row],[تصنيف فرعي (2)]],4)</f>
        <v>3601</v>
      </c>
      <c r="H653" s="5" t="s">
        <v>1034</v>
      </c>
      <c r="I653" s="5" t="str">
        <f>LEFT(الصنف[[#This Row],[تصنيف فرعي (1)]],2)</f>
        <v>36</v>
      </c>
      <c r="J653" s="1" t="s">
        <v>650</v>
      </c>
      <c r="K653" s="1">
        <f>VLOOKUP(الصنف[[#This Row],[وحده القياس]],$S$4:$T$67,2,TRUE)</f>
        <v>43</v>
      </c>
      <c r="L653" s="1" t="s">
        <v>742</v>
      </c>
      <c r="M653" s="1">
        <v>1</v>
      </c>
      <c r="N653" s="6" t="s">
        <v>742</v>
      </c>
      <c r="O653" s="7"/>
      <c r="P653" s="9">
        <f>IF(الصنف[[#This Row],[وحده المكونات]]="جرام",1,0)</f>
        <v>0</v>
      </c>
    </row>
    <row r="654" spans="2:16" ht="20.100000000000001" customHeight="1" x14ac:dyDescent="0.2">
      <c r="B654" s="4">
        <v>652</v>
      </c>
      <c r="C654" s="4">
        <v>3601002</v>
      </c>
      <c r="D654" s="2" t="s">
        <v>646</v>
      </c>
      <c r="E654" s="2" t="s">
        <v>646</v>
      </c>
      <c r="G654" s="1" t="str">
        <f>LEFT(الصنف[[#This Row],[تصنيف فرعي (2)]],4)</f>
        <v>3601</v>
      </c>
      <c r="H654" s="5" t="s">
        <v>1034</v>
      </c>
      <c r="I654" s="5" t="str">
        <f>LEFT(الصنف[[#This Row],[تصنيف فرعي (1)]],2)</f>
        <v>36</v>
      </c>
      <c r="J654" s="1" t="s">
        <v>650</v>
      </c>
      <c r="K654" s="1">
        <f>VLOOKUP(الصنف[[#This Row],[وحده القياس]],$S$4:$T$67,2,TRUE)</f>
        <v>43</v>
      </c>
      <c r="L654" s="1" t="s">
        <v>742</v>
      </c>
      <c r="M654" s="1">
        <v>1</v>
      </c>
      <c r="N654" s="6" t="s">
        <v>742</v>
      </c>
      <c r="O654" s="7"/>
      <c r="P654" s="9">
        <f>IF(الصنف[[#This Row],[وحده المكونات]]="جرام",1,0)</f>
        <v>0</v>
      </c>
    </row>
    <row r="655" spans="2:16" ht="20.100000000000001" customHeight="1" x14ac:dyDescent="0.2">
      <c r="B655" s="4">
        <v>653</v>
      </c>
      <c r="C655" s="4">
        <v>3601003</v>
      </c>
      <c r="D655" s="2" t="s">
        <v>165</v>
      </c>
      <c r="E655" s="2" t="s">
        <v>165</v>
      </c>
      <c r="G655" s="1" t="str">
        <f>LEFT(الصنف[[#This Row],[تصنيف فرعي (2)]],4)</f>
        <v>3601</v>
      </c>
      <c r="H655" s="5" t="s">
        <v>1034</v>
      </c>
      <c r="I655" s="5" t="str">
        <f>LEFT(الصنف[[#This Row],[تصنيف فرعي (1)]],2)</f>
        <v>36</v>
      </c>
      <c r="J655" s="1" t="s">
        <v>650</v>
      </c>
      <c r="K655" s="1">
        <f>VLOOKUP(الصنف[[#This Row],[وحده القياس]],$S$4:$T$67,2,TRUE)</f>
        <v>43</v>
      </c>
      <c r="L655" s="1" t="s">
        <v>742</v>
      </c>
      <c r="M655" s="1">
        <v>1</v>
      </c>
      <c r="N655" s="6" t="s">
        <v>742</v>
      </c>
      <c r="O655" s="7"/>
      <c r="P655" s="9">
        <f>IF(الصنف[[#This Row],[وحده المكونات]]="جرام",1,0)</f>
        <v>0</v>
      </c>
    </row>
    <row r="656" spans="2:16" ht="20.100000000000001" customHeight="1" x14ac:dyDescent="0.2">
      <c r="B656" s="4">
        <v>654</v>
      </c>
      <c r="C656" s="4">
        <v>3601004</v>
      </c>
      <c r="D656" s="2" t="s">
        <v>479</v>
      </c>
      <c r="E656" s="2" t="s">
        <v>479</v>
      </c>
      <c r="G656" s="1" t="str">
        <f>LEFT(الصنف[[#This Row],[تصنيف فرعي (2)]],4)</f>
        <v>3601</v>
      </c>
      <c r="H656" s="5" t="s">
        <v>1034</v>
      </c>
      <c r="I656" s="5" t="str">
        <f>LEFT(الصنف[[#This Row],[تصنيف فرعي (1)]],2)</f>
        <v>36</v>
      </c>
      <c r="J656" s="1" t="s">
        <v>650</v>
      </c>
      <c r="K656" s="1">
        <f>VLOOKUP(الصنف[[#This Row],[وحده القياس]],$S$4:$T$67,2,TRUE)</f>
        <v>43</v>
      </c>
      <c r="L656" s="1" t="s">
        <v>742</v>
      </c>
      <c r="M656" s="1">
        <v>1</v>
      </c>
      <c r="N656" s="6" t="s">
        <v>742</v>
      </c>
      <c r="O656" s="7"/>
      <c r="P656" s="9">
        <f>IF(الصنف[[#This Row],[وحده المكونات]]="جرام",1,0)</f>
        <v>0</v>
      </c>
    </row>
    <row r="657" spans="2:16" ht="20.100000000000001" customHeight="1" x14ac:dyDescent="0.2">
      <c r="B657" s="4">
        <v>655</v>
      </c>
      <c r="C657" s="4">
        <v>3601005</v>
      </c>
      <c r="D657" s="2" t="s">
        <v>474</v>
      </c>
      <c r="E657" s="2" t="s">
        <v>474</v>
      </c>
      <c r="G657" s="1" t="str">
        <f>LEFT(الصنف[[#This Row],[تصنيف فرعي (2)]],4)</f>
        <v>3601</v>
      </c>
      <c r="H657" s="5" t="s">
        <v>1034</v>
      </c>
      <c r="I657" s="5" t="str">
        <f>LEFT(الصنف[[#This Row],[تصنيف فرعي (1)]],2)</f>
        <v>36</v>
      </c>
      <c r="J657" s="1" t="s">
        <v>650</v>
      </c>
      <c r="K657" s="1">
        <f>VLOOKUP(الصنف[[#This Row],[وحده القياس]],$S$4:$T$67,2,TRUE)</f>
        <v>43</v>
      </c>
      <c r="L657" s="1" t="s">
        <v>742</v>
      </c>
      <c r="M657" s="1">
        <v>1</v>
      </c>
      <c r="N657" s="6" t="s">
        <v>742</v>
      </c>
      <c r="O657" s="7"/>
      <c r="P657" s="9">
        <f>IF(الصنف[[#This Row],[وحده المكونات]]="جرام",1,0)</f>
        <v>0</v>
      </c>
    </row>
    <row r="658" spans="2:16" ht="20.100000000000001" customHeight="1" x14ac:dyDescent="0.2">
      <c r="B658" s="4">
        <v>656</v>
      </c>
      <c r="C658" s="4">
        <v>3601006</v>
      </c>
      <c r="D658" s="2" t="s">
        <v>200</v>
      </c>
      <c r="E658" s="2" t="s">
        <v>200</v>
      </c>
      <c r="G658" s="1" t="str">
        <f>LEFT(الصنف[[#This Row],[تصنيف فرعي (2)]],4)</f>
        <v>3601</v>
      </c>
      <c r="H658" s="5" t="s">
        <v>1034</v>
      </c>
      <c r="I658" s="5" t="str">
        <f>LEFT(الصنف[[#This Row],[تصنيف فرعي (1)]],2)</f>
        <v>36</v>
      </c>
      <c r="J658" s="1" t="s">
        <v>650</v>
      </c>
      <c r="K658" s="1">
        <f>VLOOKUP(الصنف[[#This Row],[وحده القياس]],$S$4:$T$67,2,TRUE)</f>
        <v>43</v>
      </c>
      <c r="L658" s="1" t="s">
        <v>742</v>
      </c>
      <c r="M658" s="1">
        <v>1</v>
      </c>
      <c r="N658" s="6" t="s">
        <v>742</v>
      </c>
      <c r="O658" s="7"/>
      <c r="P658" s="9">
        <f>IF(الصنف[[#This Row],[وحده المكونات]]="جرام",1,0)</f>
        <v>0</v>
      </c>
    </row>
    <row r="659" spans="2:16" ht="20.100000000000001" customHeight="1" x14ac:dyDescent="0.2">
      <c r="B659" s="4">
        <v>657</v>
      </c>
      <c r="C659" s="4">
        <v>3601007</v>
      </c>
      <c r="D659" s="2" t="s">
        <v>711</v>
      </c>
      <c r="E659" s="2" t="s">
        <v>711</v>
      </c>
      <c r="G659" s="1" t="str">
        <f>LEFT(الصنف[[#This Row],[تصنيف فرعي (2)]],4)</f>
        <v>3601</v>
      </c>
      <c r="H659" s="5" t="s">
        <v>1034</v>
      </c>
      <c r="I659" s="5" t="str">
        <f>LEFT(الصنف[[#This Row],[تصنيف فرعي (1)]],2)</f>
        <v>36</v>
      </c>
      <c r="J659" s="1" t="s">
        <v>650</v>
      </c>
      <c r="K659" s="1">
        <f>VLOOKUP(الصنف[[#This Row],[وحده القياس]],$S$4:$T$67,2,TRUE)</f>
        <v>43</v>
      </c>
      <c r="L659" s="1" t="s">
        <v>742</v>
      </c>
      <c r="M659" s="1">
        <v>1</v>
      </c>
      <c r="N659" s="6" t="s">
        <v>742</v>
      </c>
      <c r="O659" s="7"/>
      <c r="P659" s="9">
        <f>IF(الصنف[[#This Row],[وحده المكونات]]="جرام",1,0)</f>
        <v>0</v>
      </c>
    </row>
    <row r="660" spans="2:16" ht="20.100000000000001" customHeight="1" x14ac:dyDescent="0.2">
      <c r="B660" s="4">
        <v>658</v>
      </c>
      <c r="C660" s="4">
        <v>3601008</v>
      </c>
      <c r="D660" s="2" t="s">
        <v>475</v>
      </c>
      <c r="E660" s="2" t="s">
        <v>475</v>
      </c>
      <c r="G660" s="1" t="str">
        <f>LEFT(الصنف[[#This Row],[تصنيف فرعي (2)]],4)</f>
        <v>3601</v>
      </c>
      <c r="H660" s="5" t="s">
        <v>1034</v>
      </c>
      <c r="I660" s="5" t="str">
        <f>LEFT(الصنف[[#This Row],[تصنيف فرعي (1)]],2)</f>
        <v>36</v>
      </c>
      <c r="J660" s="1" t="s">
        <v>650</v>
      </c>
      <c r="K660" s="1">
        <f>VLOOKUP(الصنف[[#This Row],[وحده القياس]],$S$4:$T$67,2,TRUE)</f>
        <v>43</v>
      </c>
      <c r="L660" s="1" t="s">
        <v>742</v>
      </c>
      <c r="M660" s="1">
        <v>1</v>
      </c>
      <c r="N660" s="6" t="s">
        <v>742</v>
      </c>
      <c r="O660" s="7"/>
      <c r="P660" s="9">
        <f>IF(الصنف[[#This Row],[وحده المكونات]]="جرام",1,0)</f>
        <v>0</v>
      </c>
    </row>
    <row r="661" spans="2:16" ht="20.100000000000001" customHeight="1" x14ac:dyDescent="0.2">
      <c r="B661" s="4">
        <v>659</v>
      </c>
      <c r="C661" s="4">
        <v>3601009</v>
      </c>
      <c r="D661" s="2" t="s">
        <v>712</v>
      </c>
      <c r="E661" s="2" t="s">
        <v>712</v>
      </c>
      <c r="G661" s="1" t="str">
        <f>LEFT(الصنف[[#This Row],[تصنيف فرعي (2)]],4)</f>
        <v>3601</v>
      </c>
      <c r="H661" s="5" t="s">
        <v>1034</v>
      </c>
      <c r="I661" s="5" t="str">
        <f>LEFT(الصنف[[#This Row],[تصنيف فرعي (1)]],2)</f>
        <v>36</v>
      </c>
      <c r="J661" s="1" t="s">
        <v>650</v>
      </c>
      <c r="K661" s="1">
        <f>VLOOKUP(الصنف[[#This Row],[وحده القياس]],$S$4:$T$67,2,TRUE)</f>
        <v>43</v>
      </c>
      <c r="L661" s="1" t="s">
        <v>742</v>
      </c>
      <c r="M661" s="1">
        <v>1</v>
      </c>
      <c r="N661" s="6" t="s">
        <v>742</v>
      </c>
      <c r="O661" s="7"/>
      <c r="P661" s="9">
        <f>IF(الصنف[[#This Row],[وحده المكونات]]="جرام",1,0)</f>
        <v>0</v>
      </c>
    </row>
    <row r="662" spans="2:16" ht="20.100000000000001" customHeight="1" x14ac:dyDescent="0.2">
      <c r="B662" s="4">
        <v>660</v>
      </c>
      <c r="C662" s="4">
        <v>3601010</v>
      </c>
      <c r="D662" s="2" t="s">
        <v>713</v>
      </c>
      <c r="E662" s="2" t="s">
        <v>713</v>
      </c>
      <c r="G662" s="1" t="str">
        <f>LEFT(الصنف[[#This Row],[تصنيف فرعي (2)]],4)</f>
        <v>3601</v>
      </c>
      <c r="H662" s="5" t="s">
        <v>1034</v>
      </c>
      <c r="I662" s="5" t="str">
        <f>LEFT(الصنف[[#This Row],[تصنيف فرعي (1)]],2)</f>
        <v>36</v>
      </c>
      <c r="J662" s="1" t="s">
        <v>650</v>
      </c>
      <c r="K662" s="1">
        <f>VLOOKUP(الصنف[[#This Row],[وحده القياس]],$S$4:$T$67,2,TRUE)</f>
        <v>43</v>
      </c>
      <c r="L662" s="1" t="s">
        <v>742</v>
      </c>
      <c r="M662" s="1">
        <v>1</v>
      </c>
      <c r="N662" s="6" t="s">
        <v>742</v>
      </c>
      <c r="O662" s="7"/>
      <c r="P662" s="9">
        <f>IF(الصنف[[#This Row],[وحده المكونات]]="جرام",1,0)</f>
        <v>0</v>
      </c>
    </row>
    <row r="663" spans="2:16" ht="20.100000000000001" customHeight="1" x14ac:dyDescent="0.2">
      <c r="B663" s="4">
        <v>661</v>
      </c>
      <c r="C663" s="4">
        <v>3601011</v>
      </c>
      <c r="D663" s="2" t="s">
        <v>476</v>
      </c>
      <c r="E663" s="2" t="s">
        <v>476</v>
      </c>
      <c r="G663" s="1" t="str">
        <f>LEFT(الصنف[[#This Row],[تصنيف فرعي (2)]],4)</f>
        <v>3601</v>
      </c>
      <c r="H663" s="5" t="s">
        <v>1034</v>
      </c>
      <c r="I663" s="5" t="str">
        <f>LEFT(الصنف[[#This Row],[تصنيف فرعي (1)]],2)</f>
        <v>36</v>
      </c>
      <c r="J663" s="1" t="s">
        <v>650</v>
      </c>
      <c r="K663" s="1">
        <f>VLOOKUP(الصنف[[#This Row],[وحده القياس]],$S$4:$T$67,2,TRUE)</f>
        <v>43</v>
      </c>
      <c r="L663" s="1" t="s">
        <v>742</v>
      </c>
      <c r="M663" s="1">
        <v>1</v>
      </c>
      <c r="N663" s="6" t="s">
        <v>742</v>
      </c>
      <c r="O663" s="7"/>
      <c r="P663" s="9">
        <f>IF(الصنف[[#This Row],[وحده المكونات]]="جرام",1,0)</f>
        <v>0</v>
      </c>
    </row>
    <row r="664" spans="2:16" ht="20.100000000000001" customHeight="1" x14ac:dyDescent="0.2">
      <c r="B664" s="4">
        <v>662</v>
      </c>
      <c r="C664" s="4">
        <v>3601012</v>
      </c>
      <c r="D664" s="2" t="s">
        <v>477</v>
      </c>
      <c r="E664" s="2" t="s">
        <v>477</v>
      </c>
      <c r="G664" s="1" t="str">
        <f>LEFT(الصنف[[#This Row],[تصنيف فرعي (2)]],4)</f>
        <v>3601</v>
      </c>
      <c r="H664" s="5" t="s">
        <v>1034</v>
      </c>
      <c r="I664" s="5" t="str">
        <f>LEFT(الصنف[[#This Row],[تصنيف فرعي (1)]],2)</f>
        <v>36</v>
      </c>
      <c r="J664" s="1" t="s">
        <v>650</v>
      </c>
      <c r="K664" s="1">
        <f>VLOOKUP(الصنف[[#This Row],[وحده القياس]],$S$4:$T$67,2,TRUE)</f>
        <v>43</v>
      </c>
      <c r="L664" s="1" t="s">
        <v>742</v>
      </c>
      <c r="M664" s="1">
        <v>1</v>
      </c>
      <c r="N664" s="6" t="s">
        <v>742</v>
      </c>
      <c r="O664" s="7"/>
      <c r="P664" s="9">
        <f>IF(الصنف[[#This Row],[وحده المكونات]]="جرام",1,0)</f>
        <v>0</v>
      </c>
    </row>
    <row r="665" spans="2:16" ht="20.100000000000001" customHeight="1" x14ac:dyDescent="0.2">
      <c r="B665" s="4">
        <v>663</v>
      </c>
      <c r="C665" s="4">
        <v>3601013</v>
      </c>
      <c r="D665" s="2" t="s">
        <v>714</v>
      </c>
      <c r="E665" s="2" t="s">
        <v>714</v>
      </c>
      <c r="G665" s="1" t="str">
        <f>LEFT(الصنف[[#This Row],[تصنيف فرعي (2)]],4)</f>
        <v>3601</v>
      </c>
      <c r="H665" s="5" t="s">
        <v>1034</v>
      </c>
      <c r="I665" s="5" t="str">
        <f>LEFT(الصنف[[#This Row],[تصنيف فرعي (1)]],2)</f>
        <v>36</v>
      </c>
      <c r="J665" s="1" t="s">
        <v>650</v>
      </c>
      <c r="K665" s="1">
        <f>VLOOKUP(الصنف[[#This Row],[وحده القياس]],$S$4:$T$67,2,TRUE)</f>
        <v>43</v>
      </c>
      <c r="L665" s="1" t="s">
        <v>742</v>
      </c>
      <c r="M665" s="1">
        <v>1</v>
      </c>
      <c r="N665" s="6" t="s">
        <v>742</v>
      </c>
      <c r="O665" s="7"/>
      <c r="P665" s="9">
        <f>IF(الصنف[[#This Row],[وحده المكونات]]="جرام",1,0)</f>
        <v>0</v>
      </c>
    </row>
    <row r="666" spans="2:16" ht="20.100000000000001" customHeight="1" x14ac:dyDescent="0.2">
      <c r="B666" s="4">
        <v>664</v>
      </c>
      <c r="C666" s="4">
        <v>3601014</v>
      </c>
      <c r="D666" s="2" t="s">
        <v>480</v>
      </c>
      <c r="E666" s="2" t="s">
        <v>480</v>
      </c>
      <c r="G666" s="1" t="str">
        <f>LEFT(الصنف[[#This Row],[تصنيف فرعي (2)]],4)</f>
        <v>3601</v>
      </c>
      <c r="H666" s="5" t="s">
        <v>1034</v>
      </c>
      <c r="I666" s="5" t="str">
        <f>LEFT(الصنف[[#This Row],[تصنيف فرعي (1)]],2)</f>
        <v>36</v>
      </c>
      <c r="J666" s="1" t="s">
        <v>650</v>
      </c>
      <c r="K666" s="1">
        <f>VLOOKUP(الصنف[[#This Row],[وحده القياس]],$S$4:$T$67,2,TRUE)</f>
        <v>43</v>
      </c>
      <c r="L666" s="1" t="s">
        <v>742</v>
      </c>
      <c r="M666" s="1">
        <v>1</v>
      </c>
      <c r="N666" s="6" t="s">
        <v>742</v>
      </c>
      <c r="O666" s="7"/>
      <c r="P666" s="9">
        <f>IF(الصنف[[#This Row],[وحده المكونات]]="جرام",1,0)</f>
        <v>0</v>
      </c>
    </row>
    <row r="667" spans="2:16" ht="20.100000000000001" customHeight="1" x14ac:dyDescent="0.2">
      <c r="B667" s="4">
        <v>665</v>
      </c>
      <c r="C667" s="4">
        <v>3601015</v>
      </c>
      <c r="D667" s="2" t="s">
        <v>478</v>
      </c>
      <c r="E667" s="2" t="s">
        <v>478</v>
      </c>
      <c r="G667" s="1" t="str">
        <f>LEFT(الصنف[[#This Row],[تصنيف فرعي (2)]],4)</f>
        <v>3601</v>
      </c>
      <c r="H667" s="5" t="s">
        <v>1034</v>
      </c>
      <c r="I667" s="5" t="str">
        <f>LEFT(الصنف[[#This Row],[تصنيف فرعي (1)]],2)</f>
        <v>36</v>
      </c>
      <c r="J667" s="1" t="s">
        <v>650</v>
      </c>
      <c r="K667" s="1">
        <f>VLOOKUP(الصنف[[#This Row],[وحده القياس]],$S$4:$T$67,2,TRUE)</f>
        <v>43</v>
      </c>
      <c r="L667" s="1" t="s">
        <v>742</v>
      </c>
      <c r="M667" s="1">
        <v>1</v>
      </c>
      <c r="N667" s="6" t="s">
        <v>742</v>
      </c>
      <c r="O667" s="7"/>
      <c r="P667" s="9">
        <f>IF(الصنف[[#This Row],[وحده المكونات]]="جرام",1,0)</f>
        <v>0</v>
      </c>
    </row>
    <row r="668" spans="2:16" ht="20.100000000000001" customHeight="1" x14ac:dyDescent="0.2">
      <c r="B668" s="4">
        <v>666</v>
      </c>
      <c r="C668" s="4">
        <v>3601016</v>
      </c>
      <c r="D668" s="2" t="s">
        <v>198</v>
      </c>
      <c r="E668" s="2" t="s">
        <v>198</v>
      </c>
      <c r="G668" s="1" t="str">
        <f>LEFT(الصنف[[#This Row],[تصنيف فرعي (2)]],4)</f>
        <v>3601</v>
      </c>
      <c r="H668" s="5" t="s">
        <v>1034</v>
      </c>
      <c r="I668" s="5" t="str">
        <f>LEFT(الصنف[[#This Row],[تصنيف فرعي (1)]],2)</f>
        <v>36</v>
      </c>
      <c r="J668" s="1" t="s">
        <v>650</v>
      </c>
      <c r="K668" s="1">
        <f>VLOOKUP(الصنف[[#This Row],[وحده القياس]],$S$4:$T$67,2,TRUE)</f>
        <v>43</v>
      </c>
      <c r="L668" s="1" t="s">
        <v>742</v>
      </c>
      <c r="M668" s="1">
        <v>1</v>
      </c>
      <c r="N668" s="6" t="s">
        <v>742</v>
      </c>
      <c r="O668" s="7"/>
      <c r="P668" s="9">
        <f>IF(الصنف[[#This Row],[وحده المكونات]]="جرام",1,0)</f>
        <v>0</v>
      </c>
    </row>
    <row r="669" spans="2:16" ht="20.100000000000001" customHeight="1" x14ac:dyDescent="0.2">
      <c r="B669" s="4">
        <v>667</v>
      </c>
      <c r="C669" s="4">
        <v>3601017</v>
      </c>
      <c r="D669" s="2" t="s">
        <v>647</v>
      </c>
      <c r="E669" s="2" t="s">
        <v>647</v>
      </c>
      <c r="G669" s="1" t="str">
        <f>LEFT(الصنف[[#This Row],[تصنيف فرعي (2)]],4)</f>
        <v>3601</v>
      </c>
      <c r="H669" s="5" t="s">
        <v>1034</v>
      </c>
      <c r="I669" s="5" t="str">
        <f>LEFT(الصنف[[#This Row],[تصنيف فرعي (1)]],2)</f>
        <v>36</v>
      </c>
      <c r="J669" s="1" t="s">
        <v>650</v>
      </c>
      <c r="K669" s="1">
        <f>VLOOKUP(الصنف[[#This Row],[وحده القياس]],$S$4:$T$67,2,TRUE)</f>
        <v>43</v>
      </c>
      <c r="L669" s="1" t="s">
        <v>742</v>
      </c>
      <c r="M669" s="1">
        <v>1</v>
      </c>
      <c r="N669" s="6" t="s">
        <v>742</v>
      </c>
      <c r="O669" s="7"/>
      <c r="P669" s="9">
        <f>IF(الصنف[[#This Row],[وحده المكونات]]="جرام",1,0)</f>
        <v>0</v>
      </c>
    </row>
    <row r="670" spans="2:16" ht="20.100000000000001" customHeight="1" x14ac:dyDescent="0.2">
      <c r="B670" s="4">
        <v>668</v>
      </c>
      <c r="C670" s="4">
        <v>3601018</v>
      </c>
      <c r="D670" s="2" t="s">
        <v>315</v>
      </c>
      <c r="E670" s="2" t="s">
        <v>315</v>
      </c>
      <c r="G670" s="1" t="str">
        <f>LEFT(الصنف[[#This Row],[تصنيف فرعي (2)]],4)</f>
        <v>3601</v>
      </c>
      <c r="H670" s="5" t="s">
        <v>1034</v>
      </c>
      <c r="I670" s="5" t="str">
        <f>LEFT(الصنف[[#This Row],[تصنيف فرعي (1)]],2)</f>
        <v>36</v>
      </c>
      <c r="J670" s="1" t="s">
        <v>650</v>
      </c>
      <c r="K670" s="1">
        <f>VLOOKUP(الصنف[[#This Row],[وحده القياس]],$S$4:$T$67,2,TRUE)</f>
        <v>43</v>
      </c>
      <c r="L670" s="1" t="s">
        <v>742</v>
      </c>
      <c r="M670" s="1">
        <v>1</v>
      </c>
      <c r="N670" s="6" t="s">
        <v>742</v>
      </c>
      <c r="O670" s="7"/>
      <c r="P670" s="9">
        <f>IF(الصنف[[#This Row],[وحده المكونات]]="جرام",1,0)</f>
        <v>0</v>
      </c>
    </row>
    <row r="671" spans="2:16" ht="20.100000000000001" customHeight="1" x14ac:dyDescent="0.2">
      <c r="B671" s="4">
        <v>669</v>
      </c>
      <c r="C671" s="4">
        <v>3601019</v>
      </c>
      <c r="D671" s="2" t="s">
        <v>164</v>
      </c>
      <c r="E671" s="2" t="s">
        <v>164</v>
      </c>
      <c r="G671" s="1" t="str">
        <f>LEFT(الصنف[[#This Row],[تصنيف فرعي (2)]],4)</f>
        <v>3601</v>
      </c>
      <c r="H671" s="5" t="s">
        <v>1034</v>
      </c>
      <c r="I671" s="5" t="str">
        <f>LEFT(الصنف[[#This Row],[تصنيف فرعي (1)]],2)</f>
        <v>36</v>
      </c>
      <c r="J671" s="1" t="s">
        <v>650</v>
      </c>
      <c r="K671" s="1">
        <f>VLOOKUP(الصنف[[#This Row],[وحده القياس]],$S$4:$T$67,2,TRUE)</f>
        <v>43</v>
      </c>
      <c r="L671" s="1" t="s">
        <v>742</v>
      </c>
      <c r="M671" s="1">
        <v>1</v>
      </c>
      <c r="N671" s="6" t="s">
        <v>742</v>
      </c>
      <c r="O671" s="7"/>
      <c r="P671" s="9">
        <f>IF(الصنف[[#This Row],[وحده المكونات]]="جرام",1,0)</f>
        <v>0</v>
      </c>
    </row>
    <row r="672" spans="2:16" ht="20.100000000000001" customHeight="1" x14ac:dyDescent="0.2">
      <c r="B672" s="4">
        <v>670</v>
      </c>
      <c r="C672" s="4">
        <v>3601020</v>
      </c>
      <c r="D672" s="2" t="s">
        <v>369</v>
      </c>
      <c r="E672" s="2" t="s">
        <v>369</v>
      </c>
      <c r="G672" s="1" t="str">
        <f>LEFT(الصنف[[#This Row],[تصنيف فرعي (2)]],4)</f>
        <v>3601</v>
      </c>
      <c r="H672" s="5" t="s">
        <v>1034</v>
      </c>
      <c r="I672" s="5" t="str">
        <f>LEFT(الصنف[[#This Row],[تصنيف فرعي (1)]],2)</f>
        <v>36</v>
      </c>
      <c r="J672" s="1" t="s">
        <v>650</v>
      </c>
      <c r="K672" s="1">
        <f>VLOOKUP(الصنف[[#This Row],[وحده القياس]],$S$4:$T$67,2,TRUE)</f>
        <v>43</v>
      </c>
      <c r="L672" s="1" t="s">
        <v>742</v>
      </c>
      <c r="M672" s="1">
        <v>1</v>
      </c>
      <c r="N672" s="6" t="s">
        <v>742</v>
      </c>
      <c r="O672" s="7"/>
      <c r="P672" s="9">
        <f>IF(الصنف[[#This Row],[وحده المكونات]]="جرام",1,0)</f>
        <v>0</v>
      </c>
    </row>
    <row r="673" spans="2:16" ht="20.100000000000001" customHeight="1" x14ac:dyDescent="0.2">
      <c r="B673" s="4">
        <v>671</v>
      </c>
      <c r="C673" s="4">
        <v>3601021</v>
      </c>
      <c r="D673" s="2" t="s">
        <v>280</v>
      </c>
      <c r="E673" s="2" t="s">
        <v>280</v>
      </c>
      <c r="G673" s="1" t="str">
        <f>LEFT(الصنف[[#This Row],[تصنيف فرعي (2)]],4)</f>
        <v>3601</v>
      </c>
      <c r="H673" s="5" t="s">
        <v>1034</v>
      </c>
      <c r="I673" s="5" t="str">
        <f>LEFT(الصنف[[#This Row],[تصنيف فرعي (1)]],2)</f>
        <v>36</v>
      </c>
      <c r="J673" s="1" t="s">
        <v>650</v>
      </c>
      <c r="K673" s="1">
        <f>VLOOKUP(الصنف[[#This Row],[وحده القياس]],$S$4:$T$67,2,TRUE)</f>
        <v>43</v>
      </c>
      <c r="L673" s="1" t="s">
        <v>742</v>
      </c>
      <c r="M673" s="1">
        <v>1</v>
      </c>
      <c r="N673" s="6" t="s">
        <v>742</v>
      </c>
      <c r="O673" s="7"/>
      <c r="P673" s="9">
        <f>IF(الصنف[[#This Row],[وحده المكونات]]="جرام",1,0)</f>
        <v>0</v>
      </c>
    </row>
    <row r="674" spans="2:16" ht="20.100000000000001" customHeight="1" x14ac:dyDescent="0.2">
      <c r="B674" s="4">
        <v>672</v>
      </c>
      <c r="C674" s="4">
        <v>3601022</v>
      </c>
      <c r="D674" s="2" t="s">
        <v>196</v>
      </c>
      <c r="E674" s="2" t="s">
        <v>196</v>
      </c>
      <c r="G674" s="1" t="str">
        <f>LEFT(الصنف[[#This Row],[تصنيف فرعي (2)]],4)</f>
        <v>3601</v>
      </c>
      <c r="H674" s="5" t="s">
        <v>1034</v>
      </c>
      <c r="I674" s="5" t="str">
        <f>LEFT(الصنف[[#This Row],[تصنيف فرعي (1)]],2)</f>
        <v>36</v>
      </c>
      <c r="J674" s="1" t="s">
        <v>650</v>
      </c>
      <c r="K674" s="1">
        <f>VLOOKUP(الصنف[[#This Row],[وحده القياس]],$S$4:$T$67,2,TRUE)</f>
        <v>43</v>
      </c>
      <c r="L674" s="1" t="s">
        <v>742</v>
      </c>
      <c r="M674" s="1">
        <v>1</v>
      </c>
      <c r="N674" s="6" t="s">
        <v>742</v>
      </c>
      <c r="O674" s="7"/>
      <c r="P674" s="9">
        <f>IF(الصنف[[#This Row],[وحده المكونات]]="جرام",1,0)</f>
        <v>0</v>
      </c>
    </row>
    <row r="675" spans="2:16" ht="20.100000000000001" customHeight="1" x14ac:dyDescent="0.2">
      <c r="B675" s="4">
        <v>673</v>
      </c>
      <c r="C675" s="4">
        <v>3601023</v>
      </c>
      <c r="D675" s="2" t="s">
        <v>199</v>
      </c>
      <c r="E675" s="2" t="s">
        <v>199</v>
      </c>
      <c r="G675" s="1" t="str">
        <f>LEFT(الصنف[[#This Row],[تصنيف فرعي (2)]],4)</f>
        <v>3601</v>
      </c>
      <c r="H675" s="5" t="s">
        <v>1034</v>
      </c>
      <c r="I675" s="5" t="str">
        <f>LEFT(الصنف[[#This Row],[تصنيف فرعي (1)]],2)</f>
        <v>36</v>
      </c>
      <c r="J675" s="1" t="s">
        <v>650</v>
      </c>
      <c r="K675" s="1">
        <f>VLOOKUP(الصنف[[#This Row],[وحده القياس]],$S$4:$T$67,2,TRUE)</f>
        <v>43</v>
      </c>
      <c r="L675" s="1" t="s">
        <v>742</v>
      </c>
      <c r="M675" s="1">
        <v>1</v>
      </c>
      <c r="N675" s="6" t="s">
        <v>742</v>
      </c>
      <c r="O675" s="7"/>
      <c r="P675" s="9">
        <f>IF(الصنف[[#This Row],[وحده المكونات]]="جرام",1,0)</f>
        <v>0</v>
      </c>
    </row>
    <row r="676" spans="2:16" ht="20.100000000000001" customHeight="1" x14ac:dyDescent="0.2">
      <c r="B676" s="4">
        <v>674</v>
      </c>
      <c r="C676" s="4">
        <v>3601024</v>
      </c>
      <c r="D676" s="2" t="s">
        <v>197</v>
      </c>
      <c r="E676" s="2" t="s">
        <v>197</v>
      </c>
      <c r="G676" s="1" t="str">
        <f>LEFT(الصنف[[#This Row],[تصنيف فرعي (2)]],4)</f>
        <v>3601</v>
      </c>
      <c r="H676" s="5" t="s">
        <v>1034</v>
      </c>
      <c r="I676" s="5" t="str">
        <f>LEFT(الصنف[[#This Row],[تصنيف فرعي (1)]],2)</f>
        <v>36</v>
      </c>
      <c r="J676" s="1" t="s">
        <v>650</v>
      </c>
      <c r="K676" s="1">
        <f>VLOOKUP(الصنف[[#This Row],[وحده القياس]],$S$4:$T$67,2,TRUE)</f>
        <v>43</v>
      </c>
      <c r="L676" s="1" t="s">
        <v>742</v>
      </c>
      <c r="M676" s="1">
        <v>1</v>
      </c>
      <c r="N676" s="6" t="s">
        <v>742</v>
      </c>
      <c r="O676" s="7"/>
      <c r="P676" s="9">
        <f>IF(الصنف[[#This Row],[وحده المكونات]]="جرام",1,0)</f>
        <v>0</v>
      </c>
    </row>
    <row r="677" spans="2:16" ht="20.100000000000001" customHeight="1" x14ac:dyDescent="0.2">
      <c r="B677" s="4">
        <v>675</v>
      </c>
      <c r="C677" s="4">
        <v>3601025</v>
      </c>
      <c r="D677" s="2" t="s">
        <v>562</v>
      </c>
      <c r="E677" s="2" t="s">
        <v>562</v>
      </c>
      <c r="G677" s="1" t="str">
        <f>LEFT(الصنف[[#This Row],[تصنيف فرعي (2)]],4)</f>
        <v>3601</v>
      </c>
      <c r="H677" s="5" t="s">
        <v>1034</v>
      </c>
      <c r="I677" s="5" t="str">
        <f>LEFT(الصنف[[#This Row],[تصنيف فرعي (1)]],2)</f>
        <v>36</v>
      </c>
      <c r="J677" s="1" t="s">
        <v>650</v>
      </c>
      <c r="K677" s="1">
        <f>VLOOKUP(الصنف[[#This Row],[وحده القياس]],$S$4:$T$67,2,TRUE)</f>
        <v>43</v>
      </c>
      <c r="L677" s="1" t="s">
        <v>742</v>
      </c>
      <c r="M677" s="1">
        <v>1</v>
      </c>
      <c r="N677" s="6" t="s">
        <v>742</v>
      </c>
      <c r="O677" s="7"/>
      <c r="P677" s="9">
        <f>IF(الصنف[[#This Row],[وحده المكونات]]="جرام",1,0)</f>
        <v>0</v>
      </c>
    </row>
    <row r="678" spans="2:16" ht="20.100000000000001" customHeight="1" x14ac:dyDescent="0.2">
      <c r="B678" s="4">
        <v>676</v>
      </c>
      <c r="C678" s="4">
        <v>3601026</v>
      </c>
      <c r="D678" s="2" t="s">
        <v>563</v>
      </c>
      <c r="E678" s="2" t="s">
        <v>563</v>
      </c>
      <c r="G678" s="1" t="str">
        <f>LEFT(الصنف[[#This Row],[تصنيف فرعي (2)]],4)</f>
        <v>3601</v>
      </c>
      <c r="H678" s="5" t="s">
        <v>1034</v>
      </c>
      <c r="I678" s="5" t="str">
        <f>LEFT(الصنف[[#This Row],[تصنيف فرعي (1)]],2)</f>
        <v>36</v>
      </c>
      <c r="J678" s="1" t="s">
        <v>650</v>
      </c>
      <c r="K678" s="1">
        <f>VLOOKUP(الصنف[[#This Row],[وحده القياس]],$S$4:$T$67,2,TRUE)</f>
        <v>43</v>
      </c>
      <c r="L678" s="1" t="s">
        <v>742</v>
      </c>
      <c r="M678" s="1">
        <v>1</v>
      </c>
      <c r="N678" s="6" t="s">
        <v>742</v>
      </c>
      <c r="O678" s="7"/>
      <c r="P678" s="9">
        <f>IF(الصنف[[#This Row],[وحده المكونات]]="جرام",1,0)</f>
        <v>0</v>
      </c>
    </row>
    <row r="679" spans="2:16" ht="20.100000000000001" customHeight="1" x14ac:dyDescent="0.2">
      <c r="B679" s="4">
        <v>677</v>
      </c>
      <c r="C679" s="4">
        <v>3701001</v>
      </c>
      <c r="D679" s="2" t="s">
        <v>366</v>
      </c>
      <c r="E679" s="2" t="s">
        <v>366</v>
      </c>
      <c r="G679" s="1" t="str">
        <f>LEFT(الصنف[[#This Row],[تصنيف فرعي (2)]],4)</f>
        <v>3701</v>
      </c>
      <c r="H679" s="5" t="s">
        <v>1035</v>
      </c>
      <c r="I679" s="5" t="str">
        <f>LEFT(الصنف[[#This Row],[تصنيف فرعي (1)]],2)</f>
        <v>37</v>
      </c>
      <c r="J679" s="1" t="s">
        <v>668</v>
      </c>
      <c r="K679" s="1">
        <f>VLOOKUP(الصنف[[#This Row],[وحده القياس]],$S$4:$T$67,2,TRUE)</f>
        <v>43</v>
      </c>
      <c r="L679" s="1" t="s">
        <v>742</v>
      </c>
      <c r="M679" s="1">
        <v>1</v>
      </c>
      <c r="N679" s="6" t="s">
        <v>742</v>
      </c>
      <c r="O679" s="7"/>
      <c r="P679" s="9">
        <f>IF(الصنف[[#This Row],[وحده المكونات]]="جرام",1,0)</f>
        <v>0</v>
      </c>
    </row>
    <row r="680" spans="2:16" ht="20.100000000000001" customHeight="1" x14ac:dyDescent="0.2">
      <c r="B680" s="4">
        <v>678</v>
      </c>
      <c r="C680" s="4">
        <v>3801001</v>
      </c>
      <c r="D680" s="2" t="s">
        <v>278</v>
      </c>
      <c r="E680" s="2" t="s">
        <v>278</v>
      </c>
      <c r="G680" s="1" t="str">
        <f>LEFT(الصنف[[#This Row],[تصنيف فرعي (2)]],4)</f>
        <v>3801</v>
      </c>
      <c r="H680" s="5" t="s">
        <v>1036</v>
      </c>
      <c r="I680" s="5" t="str">
        <f>LEFT(الصنف[[#This Row],[تصنيف فرعي (1)]],2)</f>
        <v>38</v>
      </c>
      <c r="J680" s="1" t="s">
        <v>674</v>
      </c>
      <c r="K680" s="1">
        <f>VLOOKUP(الصنف[[#This Row],[وحده القياس]],$S$4:$T$67,2,TRUE)</f>
        <v>33</v>
      </c>
      <c r="L680" s="1" t="s">
        <v>382</v>
      </c>
      <c r="M680" s="1">
        <v>1</v>
      </c>
      <c r="N680" s="6" t="s">
        <v>382</v>
      </c>
      <c r="O680" s="7"/>
      <c r="P680" s="9">
        <f>IF(الصنف[[#This Row],[وحده المكونات]]="جرام",1,0)</f>
        <v>0</v>
      </c>
    </row>
    <row r="681" spans="2:16" ht="20.100000000000001" customHeight="1" x14ac:dyDescent="0.2">
      <c r="B681" s="4">
        <v>679</v>
      </c>
      <c r="C681" s="4">
        <v>3801002</v>
      </c>
      <c r="D681" s="2" t="s">
        <v>355</v>
      </c>
      <c r="E681" s="2" t="s">
        <v>355</v>
      </c>
      <c r="G681" s="1" t="str">
        <f>LEFT(الصنف[[#This Row],[تصنيف فرعي (2)]],4)</f>
        <v>3801</v>
      </c>
      <c r="H681" s="5" t="s">
        <v>1036</v>
      </c>
      <c r="I681" s="5" t="str">
        <f>LEFT(الصنف[[#This Row],[تصنيف فرعي (1)]],2)</f>
        <v>38</v>
      </c>
      <c r="J681" s="1" t="s">
        <v>674</v>
      </c>
      <c r="K681" s="1">
        <f>VLOOKUP(الصنف[[#This Row],[وحده القياس]],$S$4:$T$67,2,TRUE)</f>
        <v>43</v>
      </c>
      <c r="L681" s="1" t="s">
        <v>742</v>
      </c>
      <c r="M681" s="1">
        <v>1</v>
      </c>
      <c r="N681" s="6" t="s">
        <v>742</v>
      </c>
      <c r="O681" s="7"/>
      <c r="P681" s="9">
        <f>IF(الصنف[[#This Row],[وحده المكونات]]="جرام",1,0)</f>
        <v>0</v>
      </c>
    </row>
    <row r="682" spans="2:16" ht="20.100000000000001" customHeight="1" x14ac:dyDescent="0.2">
      <c r="B682" s="4">
        <v>680</v>
      </c>
      <c r="C682" s="4">
        <v>3801003</v>
      </c>
      <c r="D682" s="2" t="s">
        <v>456</v>
      </c>
      <c r="E682" s="2" t="s">
        <v>456</v>
      </c>
      <c r="G682" s="1" t="str">
        <f>LEFT(الصنف[[#This Row],[تصنيف فرعي (2)]],4)</f>
        <v>3801</v>
      </c>
      <c r="H682" s="5" t="s">
        <v>1036</v>
      </c>
      <c r="I682" s="5" t="str">
        <f>LEFT(الصنف[[#This Row],[تصنيف فرعي (1)]],2)</f>
        <v>38</v>
      </c>
      <c r="J682" s="1" t="s">
        <v>674</v>
      </c>
      <c r="K682" s="1">
        <f>VLOOKUP(الصنف[[#This Row],[وحده القياس]],$S$4:$T$67,2,TRUE)</f>
        <v>43</v>
      </c>
      <c r="L682" s="1" t="s">
        <v>742</v>
      </c>
      <c r="M682" s="1">
        <v>1</v>
      </c>
      <c r="N682" s="6" t="s">
        <v>742</v>
      </c>
      <c r="O682" s="7"/>
      <c r="P682" s="9">
        <f>IF(الصنف[[#This Row],[وحده المكونات]]="جرام",1,0)</f>
        <v>0</v>
      </c>
    </row>
    <row r="683" spans="2:16" ht="20.100000000000001" customHeight="1" x14ac:dyDescent="0.2">
      <c r="B683" s="4">
        <v>681</v>
      </c>
      <c r="C683" s="4">
        <v>3801004</v>
      </c>
      <c r="D683" s="2" t="s">
        <v>176</v>
      </c>
      <c r="E683" s="2" t="s">
        <v>176</v>
      </c>
      <c r="G683" s="1" t="str">
        <f>LEFT(الصنف[[#This Row],[تصنيف فرعي (2)]],4)</f>
        <v>3801</v>
      </c>
      <c r="H683" s="5" t="s">
        <v>1036</v>
      </c>
      <c r="I683" s="5" t="str">
        <f>LEFT(الصنف[[#This Row],[تصنيف فرعي (1)]],2)</f>
        <v>38</v>
      </c>
      <c r="J683" s="1" t="s">
        <v>674</v>
      </c>
      <c r="K683" s="1">
        <f>VLOOKUP(الصنف[[#This Row],[وحده القياس]],$S$4:$T$67,2,TRUE)</f>
        <v>43</v>
      </c>
      <c r="L683" s="1" t="s">
        <v>742</v>
      </c>
      <c r="M683" s="1">
        <v>1</v>
      </c>
      <c r="N683" s="6" t="s">
        <v>742</v>
      </c>
      <c r="O683" s="7"/>
      <c r="P683" s="9">
        <f>IF(الصنف[[#This Row],[وحده المكونات]]="جرام",1,0)</f>
        <v>0</v>
      </c>
    </row>
    <row r="684" spans="2:16" ht="20.100000000000001" customHeight="1" x14ac:dyDescent="0.2">
      <c r="B684" s="4">
        <v>682</v>
      </c>
      <c r="C684" s="4">
        <v>3801005</v>
      </c>
      <c r="D684" s="2" t="s">
        <v>83</v>
      </c>
      <c r="E684" s="2" t="s">
        <v>83</v>
      </c>
      <c r="G684" s="1" t="str">
        <f>LEFT(الصنف[[#This Row],[تصنيف فرعي (2)]],4)</f>
        <v>3801</v>
      </c>
      <c r="H684" s="5" t="s">
        <v>1036</v>
      </c>
      <c r="I684" s="5" t="str">
        <f>LEFT(الصنف[[#This Row],[تصنيف فرعي (1)]],2)</f>
        <v>38</v>
      </c>
      <c r="J684" s="1" t="s">
        <v>674</v>
      </c>
      <c r="K684" s="1">
        <f>VLOOKUP(الصنف[[#This Row],[وحده القياس]],$S$4:$T$67,2,TRUE)</f>
        <v>60</v>
      </c>
      <c r="L684" s="1" t="s">
        <v>686</v>
      </c>
      <c r="M684" s="1">
        <v>1000</v>
      </c>
      <c r="N684" s="6" t="s">
        <v>678</v>
      </c>
      <c r="O684" s="7"/>
      <c r="P684" s="9">
        <f>IF(الصنف[[#This Row],[وحده المكونات]]="جرام",1,0)</f>
        <v>1</v>
      </c>
    </row>
    <row r="685" spans="2:16" ht="20.100000000000001" customHeight="1" x14ac:dyDescent="0.2">
      <c r="B685" s="4">
        <v>683</v>
      </c>
      <c r="C685" s="4">
        <v>3801006</v>
      </c>
      <c r="D685" s="2" t="s">
        <v>82</v>
      </c>
      <c r="E685" s="2" t="s">
        <v>82</v>
      </c>
      <c r="G685" s="1" t="str">
        <f>LEFT(الصنف[[#This Row],[تصنيف فرعي (2)]],4)</f>
        <v>3801</v>
      </c>
      <c r="H685" s="5" t="s">
        <v>1036</v>
      </c>
      <c r="I685" s="5" t="str">
        <f>LEFT(الصنف[[#This Row],[تصنيف فرعي (1)]],2)</f>
        <v>38</v>
      </c>
      <c r="J685" s="1" t="s">
        <v>674</v>
      </c>
      <c r="K685" s="1">
        <f>VLOOKUP(الصنف[[#This Row],[وحده القياس]],$S$4:$T$67,2,TRUE)</f>
        <v>60</v>
      </c>
      <c r="L685" s="1" t="s">
        <v>686</v>
      </c>
      <c r="M685" s="1">
        <v>1000</v>
      </c>
      <c r="N685" s="6" t="s">
        <v>678</v>
      </c>
      <c r="O685" s="7"/>
      <c r="P685" s="9">
        <f>IF(الصنف[[#This Row],[وحده المكونات]]="جرام",1,0)</f>
        <v>1</v>
      </c>
    </row>
    <row r="686" spans="2:16" ht="20.100000000000001" customHeight="1" x14ac:dyDescent="0.2">
      <c r="B686" s="4">
        <v>684</v>
      </c>
      <c r="C686" s="4">
        <v>3801007</v>
      </c>
      <c r="D686" s="2" t="s">
        <v>565</v>
      </c>
      <c r="E686" s="2" t="s">
        <v>565</v>
      </c>
      <c r="G686" s="1" t="str">
        <f>LEFT(الصنف[[#This Row],[تصنيف فرعي (2)]],4)</f>
        <v>3801</v>
      </c>
      <c r="H686" s="5" t="s">
        <v>1036</v>
      </c>
      <c r="I686" s="5" t="str">
        <f>LEFT(الصنف[[#This Row],[تصنيف فرعي (1)]],2)</f>
        <v>38</v>
      </c>
      <c r="J686" s="1" t="s">
        <v>674</v>
      </c>
      <c r="K686" s="1">
        <f>VLOOKUP(الصنف[[#This Row],[وحده القياس]],$S$4:$T$67,2,TRUE)</f>
        <v>60</v>
      </c>
      <c r="L686" s="1" t="s">
        <v>686</v>
      </c>
      <c r="M686" s="1">
        <v>1000</v>
      </c>
      <c r="N686" s="6" t="s">
        <v>678</v>
      </c>
      <c r="O686" s="7">
        <v>60</v>
      </c>
      <c r="P686" s="9">
        <f>IF(الصنف[[#This Row],[وحده المكونات]]="جرام",1,0)</f>
        <v>1</v>
      </c>
    </row>
    <row r="687" spans="2:16" ht="20.100000000000001" customHeight="1" x14ac:dyDescent="0.2">
      <c r="B687" s="4">
        <v>685</v>
      </c>
      <c r="C687" s="4">
        <v>3801008</v>
      </c>
      <c r="D687" s="2" t="s">
        <v>566</v>
      </c>
      <c r="E687" s="2" t="s">
        <v>566</v>
      </c>
      <c r="G687" s="1" t="str">
        <f>LEFT(الصنف[[#This Row],[تصنيف فرعي (2)]],4)</f>
        <v>3801</v>
      </c>
      <c r="H687" s="5" t="s">
        <v>1036</v>
      </c>
      <c r="I687" s="5" t="str">
        <f>LEFT(الصنف[[#This Row],[تصنيف فرعي (1)]],2)</f>
        <v>38</v>
      </c>
      <c r="J687" s="1" t="s">
        <v>674</v>
      </c>
      <c r="K687" s="1">
        <f>VLOOKUP(الصنف[[#This Row],[وحده القياس]],$S$4:$T$67,2,TRUE)</f>
        <v>60</v>
      </c>
      <c r="L687" s="1" t="s">
        <v>686</v>
      </c>
      <c r="M687" s="1">
        <v>1000</v>
      </c>
      <c r="N687" s="6" t="s">
        <v>678</v>
      </c>
      <c r="O687" s="7"/>
      <c r="P687" s="9">
        <f>IF(الصنف[[#This Row],[وحده المكونات]]="جرام",1,0)</f>
        <v>1</v>
      </c>
    </row>
    <row r="688" spans="2:16" ht="20.100000000000001" customHeight="1" x14ac:dyDescent="0.2">
      <c r="B688" s="4">
        <v>688</v>
      </c>
      <c r="C688" s="4">
        <v>3801011</v>
      </c>
      <c r="D688" s="2" t="s">
        <v>1061</v>
      </c>
      <c r="E688" s="2" t="s">
        <v>560</v>
      </c>
      <c r="G688" s="1" t="str">
        <f>LEFT(الصنف[[#This Row],[تصنيف فرعي (2)]],4)</f>
        <v>3801</v>
      </c>
      <c r="H688" s="5" t="s">
        <v>1036</v>
      </c>
      <c r="I688" s="5" t="str">
        <f>LEFT(الصنف[[#This Row],[تصنيف فرعي (1)]],2)</f>
        <v>38</v>
      </c>
      <c r="J688" s="1" t="s">
        <v>674</v>
      </c>
      <c r="K688" s="1">
        <f>VLOOKUP(الصنف[[#This Row],[وحده القياس]],$S$4:$T$67,2,TRUE)</f>
        <v>43</v>
      </c>
      <c r="L688" s="1" t="s">
        <v>742</v>
      </c>
      <c r="M688" s="1">
        <v>1</v>
      </c>
      <c r="N688" s="6" t="s">
        <v>742</v>
      </c>
      <c r="O688" s="7"/>
      <c r="P688" s="9">
        <f>IF(الصنف[[#This Row],[وحده المكونات]]="جرام",1,0)</f>
        <v>0</v>
      </c>
    </row>
    <row r="689" spans="2:16" ht="20.100000000000001" customHeight="1" x14ac:dyDescent="0.2">
      <c r="B689" s="4">
        <v>686</v>
      </c>
      <c r="C689" s="4">
        <v>3801009</v>
      </c>
      <c r="D689" s="2" t="s">
        <v>1060</v>
      </c>
      <c r="E689" s="2" t="s">
        <v>359</v>
      </c>
      <c r="G689" s="1" t="str">
        <f>LEFT(الصنف[[#This Row],[تصنيف فرعي (2)]],4)</f>
        <v>3801</v>
      </c>
      <c r="H689" s="5" t="s">
        <v>1036</v>
      </c>
      <c r="I689" s="5" t="str">
        <f>LEFT(الصنف[[#This Row],[تصنيف فرعي (1)]],2)</f>
        <v>38</v>
      </c>
      <c r="J689" s="1" t="s">
        <v>674</v>
      </c>
      <c r="K689" s="1">
        <f>VLOOKUP(الصنف[[#This Row],[وحده القياس]],$S$4:$T$67,2,TRUE)</f>
        <v>33</v>
      </c>
      <c r="L689" s="1" t="s">
        <v>382</v>
      </c>
      <c r="M689" s="1">
        <v>1</v>
      </c>
      <c r="N689" s="6" t="s">
        <v>382</v>
      </c>
      <c r="O689" s="7"/>
      <c r="P689" s="9">
        <f>IF(الصنف[[#This Row],[وحده المكونات]]="جرام",1,0)</f>
        <v>0</v>
      </c>
    </row>
    <row r="690" spans="2:16" ht="20.100000000000001" customHeight="1" x14ac:dyDescent="0.2">
      <c r="B690" s="4">
        <v>687</v>
      </c>
      <c r="C690" s="4">
        <v>3801010</v>
      </c>
      <c r="D690" s="2" t="s">
        <v>1059</v>
      </c>
      <c r="E690" s="2" t="s">
        <v>360</v>
      </c>
      <c r="G690" s="1" t="str">
        <f>LEFT(الصنف[[#This Row],[تصنيف فرعي (2)]],4)</f>
        <v>3801</v>
      </c>
      <c r="H690" s="5" t="s">
        <v>1036</v>
      </c>
      <c r="I690" s="5" t="str">
        <f>LEFT(الصنف[[#This Row],[تصنيف فرعي (1)]],2)</f>
        <v>38</v>
      </c>
      <c r="J690" s="1" t="s">
        <v>674</v>
      </c>
      <c r="K690" s="1">
        <f>VLOOKUP(الصنف[[#This Row],[وحده القياس]],$S$4:$T$67,2,TRUE)</f>
        <v>33</v>
      </c>
      <c r="L690" s="1" t="s">
        <v>382</v>
      </c>
      <c r="M690" s="1">
        <v>1</v>
      </c>
      <c r="N690" s="6" t="s">
        <v>382</v>
      </c>
      <c r="O690" s="7"/>
      <c r="P690" s="9">
        <f>IF(الصنف[[#This Row],[وحده المكونات]]="جرام",1,0)</f>
        <v>0</v>
      </c>
    </row>
    <row r="691" spans="2:16" ht="20.100000000000001" customHeight="1" x14ac:dyDescent="0.2">
      <c r="B691" s="4">
        <v>689</v>
      </c>
      <c r="C691" s="4">
        <v>3801012</v>
      </c>
      <c r="D691" s="2" t="s">
        <v>561</v>
      </c>
      <c r="E691" s="2" t="s">
        <v>561</v>
      </c>
      <c r="G691" s="1" t="str">
        <f>LEFT(الصنف[[#This Row],[تصنيف فرعي (2)]],4)</f>
        <v>3801</v>
      </c>
      <c r="H691" s="5" t="s">
        <v>1036</v>
      </c>
      <c r="I691" s="5" t="str">
        <f>LEFT(الصنف[[#This Row],[تصنيف فرعي (1)]],2)</f>
        <v>38</v>
      </c>
      <c r="J691" s="1" t="s">
        <v>674</v>
      </c>
      <c r="K691" s="1">
        <f>VLOOKUP(الصنف[[#This Row],[وحده القياس]],$S$4:$T$67,2,TRUE)</f>
        <v>43</v>
      </c>
      <c r="L691" s="1" t="s">
        <v>742</v>
      </c>
      <c r="M691" s="1">
        <v>1</v>
      </c>
      <c r="N691" s="6" t="s">
        <v>742</v>
      </c>
      <c r="O691" s="7"/>
      <c r="P691" s="9">
        <f>IF(الصنف[[#This Row],[وحده المكونات]]="جرام",1,0)</f>
        <v>0</v>
      </c>
    </row>
    <row r="692" spans="2:16" ht="20.100000000000001" customHeight="1" x14ac:dyDescent="0.2">
      <c r="B692" s="4">
        <v>690</v>
      </c>
      <c r="C692" s="4">
        <v>3801013</v>
      </c>
      <c r="D692" s="2" t="s">
        <v>349</v>
      </c>
      <c r="E692" s="2" t="s">
        <v>349</v>
      </c>
      <c r="G692" s="1" t="str">
        <f>LEFT(الصنف[[#This Row],[تصنيف فرعي (2)]],4)</f>
        <v>3801</v>
      </c>
      <c r="H692" s="5" t="s">
        <v>1036</v>
      </c>
      <c r="I692" s="5" t="str">
        <f>LEFT(الصنف[[#This Row],[تصنيف فرعي (1)]],2)</f>
        <v>38</v>
      </c>
      <c r="J692" s="1" t="s">
        <v>674</v>
      </c>
      <c r="K692" s="1">
        <f>VLOOKUP(الصنف[[#This Row],[وحده القياس]],$S$4:$T$67,2,TRUE)</f>
        <v>49</v>
      </c>
      <c r="L692" s="1" t="s">
        <v>383</v>
      </c>
      <c r="M692" s="1">
        <v>1</v>
      </c>
      <c r="N692" s="6" t="s">
        <v>383</v>
      </c>
      <c r="O692" s="7"/>
      <c r="P692" s="9">
        <f>IF(الصنف[[#This Row],[وحده المكونات]]="جرام",1,0)</f>
        <v>0</v>
      </c>
    </row>
    <row r="693" spans="2:16" ht="20.100000000000001" customHeight="1" x14ac:dyDescent="0.2">
      <c r="B693" s="4">
        <v>691</v>
      </c>
      <c r="C693" s="4">
        <v>3801014</v>
      </c>
      <c r="D693" s="2" t="s">
        <v>87</v>
      </c>
      <c r="E693" s="2" t="s">
        <v>87</v>
      </c>
      <c r="G693" s="1" t="str">
        <f>LEFT(الصنف[[#This Row],[تصنيف فرعي (2)]],4)</f>
        <v>3801</v>
      </c>
      <c r="H693" s="5" t="s">
        <v>1036</v>
      </c>
      <c r="I693" s="5" t="str">
        <f>LEFT(الصنف[[#This Row],[تصنيف فرعي (1)]],2)</f>
        <v>38</v>
      </c>
      <c r="J693" s="1" t="s">
        <v>674</v>
      </c>
      <c r="K693" s="1">
        <f>VLOOKUP(الصنف[[#This Row],[وحده القياس]],$S$4:$T$67,2,TRUE)</f>
        <v>43</v>
      </c>
      <c r="L693" s="1" t="s">
        <v>742</v>
      </c>
      <c r="M693" s="1">
        <v>1</v>
      </c>
      <c r="N693" s="6" t="s">
        <v>742</v>
      </c>
      <c r="O693" s="7"/>
      <c r="P693" s="9">
        <f>IF(الصنف[[#This Row],[وحده المكونات]]="جرام",1,0)</f>
        <v>0</v>
      </c>
    </row>
    <row r="694" spans="2:16" ht="20.100000000000001" customHeight="1" x14ac:dyDescent="0.2">
      <c r="B694" s="4">
        <v>692</v>
      </c>
      <c r="C694" s="4">
        <v>3801015</v>
      </c>
      <c r="D694" s="2" t="s">
        <v>769</v>
      </c>
      <c r="E694" s="2" t="s">
        <v>86</v>
      </c>
      <c r="G694" s="1" t="str">
        <f>LEFT(الصنف[[#This Row],[تصنيف فرعي (2)]],4)</f>
        <v>3801</v>
      </c>
      <c r="H694" s="5" t="s">
        <v>1036</v>
      </c>
      <c r="I694" s="5" t="str">
        <f>LEFT(الصنف[[#This Row],[تصنيف فرعي (1)]],2)</f>
        <v>38</v>
      </c>
      <c r="J694" s="1" t="s">
        <v>674</v>
      </c>
      <c r="K694" s="1">
        <f>VLOOKUP(الصنف[[#This Row],[وحده القياس]],$S$4:$T$67,2,TRUE)</f>
        <v>43</v>
      </c>
      <c r="L694" s="1" t="s">
        <v>742</v>
      </c>
      <c r="M694" s="1">
        <v>1</v>
      </c>
      <c r="N694" s="6" t="s">
        <v>742</v>
      </c>
      <c r="O694" s="7"/>
      <c r="P694" s="9">
        <f>IF(الصنف[[#This Row],[وحده المكونات]]="جرام",1,0)</f>
        <v>0</v>
      </c>
    </row>
    <row r="695" spans="2:16" ht="20.100000000000001" customHeight="1" x14ac:dyDescent="0.2">
      <c r="B695" s="4">
        <v>693</v>
      </c>
      <c r="C695" s="4">
        <v>3801016</v>
      </c>
      <c r="D695" s="2" t="s">
        <v>201</v>
      </c>
      <c r="E695" s="2" t="s">
        <v>201</v>
      </c>
      <c r="G695" s="1" t="str">
        <f>LEFT(الصنف[[#This Row],[تصنيف فرعي (2)]],4)</f>
        <v>3801</v>
      </c>
      <c r="H695" s="5" t="s">
        <v>1036</v>
      </c>
      <c r="I695" s="5" t="str">
        <f>LEFT(الصنف[[#This Row],[تصنيف فرعي (1)]],2)</f>
        <v>38</v>
      </c>
      <c r="J695" s="1" t="s">
        <v>674</v>
      </c>
      <c r="K695" s="1">
        <f>VLOOKUP(الصنف[[#This Row],[وحده القياس]],$S$4:$T$67,2,TRUE)</f>
        <v>43</v>
      </c>
      <c r="L695" s="1" t="s">
        <v>742</v>
      </c>
      <c r="M695" s="1">
        <v>1</v>
      </c>
      <c r="N695" s="6" t="s">
        <v>742</v>
      </c>
      <c r="O695" s="7"/>
      <c r="P695" s="9">
        <f>IF(الصنف[[#This Row],[وحده المكونات]]="جرام",1,0)</f>
        <v>0</v>
      </c>
    </row>
    <row r="696" spans="2:16" ht="20.100000000000001" customHeight="1" x14ac:dyDescent="0.2">
      <c r="B696" s="4">
        <v>694</v>
      </c>
      <c r="C696" s="4">
        <v>3801017</v>
      </c>
      <c r="D696" s="2" t="s">
        <v>438</v>
      </c>
      <c r="E696" s="2" t="s">
        <v>438</v>
      </c>
      <c r="G696" s="1" t="str">
        <f>LEFT(الصنف[[#This Row],[تصنيف فرعي (2)]],4)</f>
        <v>3801</v>
      </c>
      <c r="H696" s="5" t="s">
        <v>1036</v>
      </c>
      <c r="I696" s="5" t="str">
        <f>LEFT(الصنف[[#This Row],[تصنيف فرعي (1)]],2)</f>
        <v>38</v>
      </c>
      <c r="J696" s="1" t="s">
        <v>674</v>
      </c>
      <c r="K696" s="1">
        <f>VLOOKUP(الصنف[[#This Row],[وحده القياس]],$S$4:$T$67,2,TRUE)</f>
        <v>60</v>
      </c>
      <c r="L696" s="1" t="s">
        <v>686</v>
      </c>
      <c r="M696" s="1">
        <v>1000</v>
      </c>
      <c r="N696" s="6" t="s">
        <v>678</v>
      </c>
      <c r="O696" s="7"/>
      <c r="P696" s="9">
        <f>IF(الصنف[[#This Row],[وحده المكونات]]="جرام",1,0)</f>
        <v>1</v>
      </c>
    </row>
    <row r="697" spans="2:16" ht="20.100000000000001" customHeight="1" x14ac:dyDescent="0.2">
      <c r="B697" s="4">
        <v>695</v>
      </c>
      <c r="C697" s="4">
        <v>3801018</v>
      </c>
      <c r="D697" s="2" t="s">
        <v>629</v>
      </c>
      <c r="E697" s="2" t="s">
        <v>629</v>
      </c>
      <c r="G697" s="1" t="str">
        <f>LEFT(الصنف[[#This Row],[تصنيف فرعي (2)]],4)</f>
        <v>3801</v>
      </c>
      <c r="H697" s="5" t="s">
        <v>1036</v>
      </c>
      <c r="I697" s="5" t="str">
        <f>LEFT(الصنف[[#This Row],[تصنيف فرعي (1)]],2)</f>
        <v>38</v>
      </c>
      <c r="J697" s="1" t="s">
        <v>674</v>
      </c>
      <c r="K697" s="1">
        <f>VLOOKUP(الصنف[[#This Row],[وحده القياس]],$S$4:$T$67,2,TRUE)</f>
        <v>3</v>
      </c>
      <c r="L697" s="1" t="s">
        <v>388</v>
      </c>
      <c r="M697" s="1">
        <v>1</v>
      </c>
      <c r="N697" s="6" t="s">
        <v>388</v>
      </c>
      <c r="O697" s="7"/>
      <c r="P697" s="9">
        <f>IF(الصنف[[#This Row],[وحده المكونات]]="جرام",1,0)</f>
        <v>0</v>
      </c>
    </row>
    <row r="698" spans="2:16" ht="20.100000000000001" customHeight="1" x14ac:dyDescent="0.2">
      <c r="B698" s="4">
        <v>696</v>
      </c>
      <c r="C698" s="4">
        <v>3801019</v>
      </c>
      <c r="D698" s="2" t="s">
        <v>89</v>
      </c>
      <c r="E698" s="2" t="s">
        <v>89</v>
      </c>
      <c r="G698" s="1" t="str">
        <f>LEFT(الصنف[[#This Row],[تصنيف فرعي (2)]],4)</f>
        <v>3801</v>
      </c>
      <c r="H698" s="5" t="s">
        <v>1036</v>
      </c>
      <c r="I698" s="5" t="str">
        <f>LEFT(الصنف[[#This Row],[تصنيف فرعي (1)]],2)</f>
        <v>38</v>
      </c>
      <c r="J698" s="1" t="s">
        <v>674</v>
      </c>
      <c r="K698" s="1">
        <f>VLOOKUP(الصنف[[#This Row],[وحده القياس]],$S$4:$T$67,2,TRUE)</f>
        <v>3</v>
      </c>
      <c r="L698" s="1" t="s">
        <v>388</v>
      </c>
      <c r="M698" s="1">
        <v>1</v>
      </c>
      <c r="N698" s="6" t="s">
        <v>388</v>
      </c>
      <c r="O698" s="7"/>
      <c r="P698" s="9">
        <f>IF(الصنف[[#This Row],[وحده المكونات]]="جرام",1,0)</f>
        <v>0</v>
      </c>
    </row>
    <row r="699" spans="2:16" ht="20.100000000000001" customHeight="1" x14ac:dyDescent="0.2">
      <c r="B699" s="4">
        <v>697</v>
      </c>
      <c r="C699" s="4">
        <v>3801020</v>
      </c>
      <c r="D699" s="2" t="s">
        <v>90</v>
      </c>
      <c r="E699" s="2" t="s">
        <v>90</v>
      </c>
      <c r="G699" s="1" t="str">
        <f>LEFT(الصنف[[#This Row],[تصنيف فرعي (2)]],4)</f>
        <v>3801</v>
      </c>
      <c r="H699" s="5" t="s">
        <v>1036</v>
      </c>
      <c r="I699" s="5" t="str">
        <f>LEFT(الصنف[[#This Row],[تصنيف فرعي (1)]],2)</f>
        <v>38</v>
      </c>
      <c r="J699" s="1" t="s">
        <v>674</v>
      </c>
      <c r="K699" s="1">
        <f>VLOOKUP(الصنف[[#This Row],[وحده القياس]],$S$4:$T$67,2,TRUE)</f>
        <v>60</v>
      </c>
      <c r="L699" s="1" t="s">
        <v>686</v>
      </c>
      <c r="M699" s="1">
        <v>1000</v>
      </c>
      <c r="N699" s="6" t="s">
        <v>678</v>
      </c>
      <c r="O699" s="7"/>
      <c r="P699" s="9">
        <f>IF(الصنف[[#This Row],[وحده المكونات]]="جرام",1,0)</f>
        <v>1</v>
      </c>
    </row>
    <row r="700" spans="2:16" ht="20.100000000000001" customHeight="1" x14ac:dyDescent="0.2">
      <c r="B700" s="4">
        <v>698</v>
      </c>
      <c r="C700" s="4">
        <v>3801021</v>
      </c>
      <c r="D700" s="2" t="s">
        <v>91</v>
      </c>
      <c r="E700" s="2" t="s">
        <v>91</v>
      </c>
      <c r="G700" s="1" t="str">
        <f>LEFT(الصنف[[#This Row],[تصنيف فرعي (2)]],4)</f>
        <v>3801</v>
      </c>
      <c r="H700" s="5" t="s">
        <v>1036</v>
      </c>
      <c r="I700" s="5" t="str">
        <f>LEFT(الصنف[[#This Row],[تصنيف فرعي (1)]],2)</f>
        <v>38</v>
      </c>
      <c r="J700" s="1" t="s">
        <v>674</v>
      </c>
      <c r="K700" s="1">
        <f>VLOOKUP(الصنف[[#This Row],[وحده القياس]],$S$4:$T$67,2,TRUE)</f>
        <v>60</v>
      </c>
      <c r="L700" s="1" t="s">
        <v>686</v>
      </c>
      <c r="M700" s="1">
        <v>1000</v>
      </c>
      <c r="N700" s="6" t="s">
        <v>678</v>
      </c>
      <c r="O700" s="7"/>
      <c r="P700" s="9">
        <f>IF(الصنف[[#This Row],[وحده المكونات]]="جرام",1,0)</f>
        <v>1</v>
      </c>
    </row>
    <row r="701" spans="2:16" ht="20.100000000000001" customHeight="1" x14ac:dyDescent="0.2">
      <c r="B701" s="4">
        <v>699</v>
      </c>
      <c r="C701" s="4">
        <v>3802001</v>
      </c>
      <c r="D701" s="2" t="s">
        <v>967</v>
      </c>
      <c r="E701" s="2" t="s">
        <v>551</v>
      </c>
      <c r="G701" s="1" t="str">
        <f>LEFT(الصنف[[#This Row],[تصنيف فرعي (2)]],4)</f>
        <v>3802</v>
      </c>
      <c r="H701" s="5" t="s">
        <v>1037</v>
      </c>
      <c r="I701" s="5" t="str">
        <f>LEFT(الصنف[[#This Row],[تصنيف فرعي (1)]],2)</f>
        <v>38</v>
      </c>
      <c r="J701" s="1" t="s">
        <v>674</v>
      </c>
      <c r="K701" s="1">
        <f>VLOOKUP(الصنف[[#This Row],[وحده القياس]],$S$4:$T$67,2,TRUE)</f>
        <v>43</v>
      </c>
      <c r="L701" s="1" t="s">
        <v>742</v>
      </c>
      <c r="M701" s="1">
        <v>1</v>
      </c>
      <c r="N701" s="6" t="s">
        <v>742</v>
      </c>
      <c r="O701" s="7"/>
      <c r="P701" s="9">
        <f>IF(الصنف[[#This Row],[وحده المكونات]]="جرام",1,0)</f>
        <v>0</v>
      </c>
    </row>
    <row r="702" spans="2:16" ht="20.100000000000001" customHeight="1" x14ac:dyDescent="0.2">
      <c r="B702" s="4">
        <v>700</v>
      </c>
      <c r="C702" s="4">
        <v>3802002</v>
      </c>
      <c r="D702" s="2" t="s">
        <v>322</v>
      </c>
      <c r="E702" s="2" t="s">
        <v>322</v>
      </c>
      <c r="G702" s="1" t="str">
        <f>LEFT(الصنف[[#This Row],[تصنيف فرعي (2)]],4)</f>
        <v>3802</v>
      </c>
      <c r="H702" s="5" t="s">
        <v>1037</v>
      </c>
      <c r="I702" s="5" t="str">
        <f>LEFT(الصنف[[#This Row],[تصنيف فرعي (1)]],2)</f>
        <v>38</v>
      </c>
      <c r="J702" s="1" t="s">
        <v>674</v>
      </c>
      <c r="K702" s="1">
        <f>VLOOKUP(الصنف[[#This Row],[وحده القياس]],$S$4:$T$67,2,TRUE)</f>
        <v>13</v>
      </c>
      <c r="L702" s="1" t="s">
        <v>896</v>
      </c>
      <c r="M702" s="1">
        <v>1</v>
      </c>
      <c r="N702" s="6" t="s">
        <v>896</v>
      </c>
      <c r="O702" s="7"/>
      <c r="P702" s="9">
        <f>IF(الصنف[[#This Row],[وحده المكونات]]="جرام",1,0)</f>
        <v>0</v>
      </c>
    </row>
    <row r="703" spans="2:16" ht="20.100000000000001" customHeight="1" x14ac:dyDescent="0.2">
      <c r="B703" s="4">
        <v>701</v>
      </c>
      <c r="C703" s="4">
        <v>3802003</v>
      </c>
      <c r="D703" s="2" t="s">
        <v>85</v>
      </c>
      <c r="E703" s="2" t="s">
        <v>85</v>
      </c>
      <c r="G703" s="1" t="str">
        <f>LEFT(الصنف[[#This Row],[تصنيف فرعي (2)]],4)</f>
        <v>3802</v>
      </c>
      <c r="H703" s="5" t="s">
        <v>1037</v>
      </c>
      <c r="I703" s="5" t="str">
        <f>LEFT(الصنف[[#This Row],[تصنيف فرعي (1)]],2)</f>
        <v>38</v>
      </c>
      <c r="J703" s="1" t="s">
        <v>674</v>
      </c>
      <c r="K703" s="1">
        <f>VLOOKUP(الصنف[[#This Row],[وحده القياس]],$S$4:$T$67,2,TRUE)</f>
        <v>57</v>
      </c>
      <c r="L703" s="1" t="s">
        <v>906</v>
      </c>
      <c r="M703" s="1">
        <v>50</v>
      </c>
      <c r="N703" s="6" t="s">
        <v>742</v>
      </c>
      <c r="O703" s="7"/>
      <c r="P703" s="9">
        <f>IF(الصنف[[#This Row],[وحده المكونات]]="جرام",1,0)</f>
        <v>0</v>
      </c>
    </row>
    <row r="704" spans="2:16" ht="20.100000000000001" customHeight="1" x14ac:dyDescent="0.2">
      <c r="B704" s="4">
        <v>702</v>
      </c>
      <c r="C704" s="4">
        <v>3802004</v>
      </c>
      <c r="D704" s="2" t="s">
        <v>84</v>
      </c>
      <c r="E704" s="2" t="s">
        <v>84</v>
      </c>
      <c r="G704" s="1" t="str">
        <f>LEFT(الصنف[[#This Row],[تصنيف فرعي (2)]],4)</f>
        <v>3802</v>
      </c>
      <c r="H704" s="5" t="s">
        <v>1037</v>
      </c>
      <c r="I704" s="5" t="str">
        <f>LEFT(الصنف[[#This Row],[تصنيف فرعي (1)]],2)</f>
        <v>38</v>
      </c>
      <c r="J704" s="1" t="s">
        <v>674</v>
      </c>
      <c r="K704" s="1">
        <f>VLOOKUP(الصنف[[#This Row],[وحده القياس]],$S$4:$T$67,2,TRUE)</f>
        <v>57</v>
      </c>
      <c r="L704" s="1" t="s">
        <v>906</v>
      </c>
      <c r="M704" s="1">
        <v>50</v>
      </c>
      <c r="N704" s="6" t="s">
        <v>742</v>
      </c>
      <c r="O704" s="7"/>
      <c r="P704" s="9">
        <f>IF(الصنف[[#This Row],[وحده المكونات]]="جرام",1,0)</f>
        <v>0</v>
      </c>
    </row>
    <row r="705" spans="2:16" ht="20.100000000000001" customHeight="1" x14ac:dyDescent="0.2">
      <c r="B705" s="4">
        <v>703</v>
      </c>
      <c r="C705" s="4">
        <v>3802005</v>
      </c>
      <c r="D705" s="2" t="s">
        <v>434</v>
      </c>
      <c r="E705" s="2" t="s">
        <v>434</v>
      </c>
      <c r="G705" s="1" t="str">
        <f>LEFT(الصنف[[#This Row],[تصنيف فرعي (2)]],4)</f>
        <v>3802</v>
      </c>
      <c r="H705" s="5" t="s">
        <v>1037</v>
      </c>
      <c r="I705" s="5" t="str">
        <f>LEFT(الصنف[[#This Row],[تصنيف فرعي (1)]],2)</f>
        <v>38</v>
      </c>
      <c r="J705" s="1" t="s">
        <v>674</v>
      </c>
      <c r="K705" s="1">
        <f>VLOOKUP(الصنف[[#This Row],[وحده القياس]],$S$4:$T$67,2,TRUE)</f>
        <v>57</v>
      </c>
      <c r="L705" s="1" t="s">
        <v>906</v>
      </c>
      <c r="M705" s="1">
        <v>50</v>
      </c>
      <c r="N705" s="6" t="s">
        <v>742</v>
      </c>
      <c r="O705" s="7"/>
      <c r="P705" s="9">
        <f>IF(الصنف[[#This Row],[وحده المكونات]]="جرام",1,0)</f>
        <v>0</v>
      </c>
    </row>
    <row r="706" spans="2:16" ht="20.100000000000001" customHeight="1" x14ac:dyDescent="0.2">
      <c r="B706" s="4">
        <v>704</v>
      </c>
      <c r="C706" s="4">
        <v>4101001</v>
      </c>
      <c r="D706" s="2" t="s">
        <v>274</v>
      </c>
      <c r="E706" s="2" t="s">
        <v>274</v>
      </c>
      <c r="G706" s="1" t="str">
        <f>LEFT(الصنف[[#This Row],[تصنيف فرعي (2)]],4)</f>
        <v>4101</v>
      </c>
      <c r="H706" s="5" t="s">
        <v>1038</v>
      </c>
      <c r="I706" s="5" t="str">
        <f>LEFT(الصنف[[#This Row],[تصنيف فرعي (1)]],2)</f>
        <v>41</v>
      </c>
      <c r="J706" s="1" t="s">
        <v>902</v>
      </c>
      <c r="K706" s="1">
        <f>VLOOKUP(الصنف[[#This Row],[وحده القياس]],$S$4:$T$67,2,TRUE)</f>
        <v>43</v>
      </c>
      <c r="L706" s="1" t="s">
        <v>742</v>
      </c>
      <c r="M706" s="1">
        <v>1</v>
      </c>
      <c r="N706" s="6" t="s">
        <v>742</v>
      </c>
      <c r="O706" s="7"/>
      <c r="P706" s="9">
        <f>IF(الصنف[[#This Row],[وحده المكونات]]="جرام",1,0)</f>
        <v>0</v>
      </c>
    </row>
    <row r="707" spans="2:16" ht="20.100000000000001" customHeight="1" x14ac:dyDescent="0.2">
      <c r="B707" s="4">
        <v>705</v>
      </c>
      <c r="C707" s="4">
        <v>4101002</v>
      </c>
      <c r="D707" s="2" t="s">
        <v>445</v>
      </c>
      <c r="E707" s="2" t="s">
        <v>445</v>
      </c>
      <c r="G707" s="1" t="str">
        <f>LEFT(الصنف[[#This Row],[تصنيف فرعي (2)]],4)</f>
        <v>4101</v>
      </c>
      <c r="H707" s="5" t="s">
        <v>1038</v>
      </c>
      <c r="I707" s="5" t="str">
        <f>LEFT(الصنف[[#This Row],[تصنيف فرعي (1)]],2)</f>
        <v>41</v>
      </c>
      <c r="J707" s="1" t="s">
        <v>902</v>
      </c>
      <c r="K707" s="1">
        <f>VLOOKUP(الصنف[[#This Row],[وحده القياس]],$S$4:$T$67,2,TRUE)</f>
        <v>60</v>
      </c>
      <c r="L707" s="1" t="s">
        <v>686</v>
      </c>
      <c r="M707" s="1">
        <v>1000</v>
      </c>
      <c r="N707" s="6" t="s">
        <v>678</v>
      </c>
      <c r="O707" s="7"/>
      <c r="P707" s="9">
        <f>IF(الصنف[[#This Row],[وحده المكونات]]="جرام",1,0)</f>
        <v>1</v>
      </c>
    </row>
    <row r="708" spans="2:16" ht="20.100000000000001" customHeight="1" x14ac:dyDescent="0.2">
      <c r="B708" s="4">
        <v>706</v>
      </c>
      <c r="C708" s="4">
        <v>4101003</v>
      </c>
      <c r="D708" s="2" t="s">
        <v>271</v>
      </c>
      <c r="E708" s="2" t="s">
        <v>271</v>
      </c>
      <c r="G708" s="1" t="str">
        <f>LEFT(الصنف[[#This Row],[تصنيف فرعي (2)]],4)</f>
        <v>4101</v>
      </c>
      <c r="H708" s="5" t="s">
        <v>1038</v>
      </c>
      <c r="I708" s="5" t="str">
        <f>LEFT(الصنف[[#This Row],[تصنيف فرعي (1)]],2)</f>
        <v>41</v>
      </c>
      <c r="J708" s="1" t="s">
        <v>902</v>
      </c>
      <c r="K708" s="1">
        <f>VLOOKUP(الصنف[[#This Row],[وحده القياس]],$S$4:$T$67,2,TRUE)</f>
        <v>64</v>
      </c>
      <c r="L708" s="1" t="s">
        <v>391</v>
      </c>
      <c r="M708" s="1">
        <v>1</v>
      </c>
      <c r="N708" s="6" t="s">
        <v>391</v>
      </c>
      <c r="O708" s="7"/>
      <c r="P708" s="9">
        <f>IF(الصنف[[#This Row],[وحده المكونات]]="جرام",1,0)</f>
        <v>0</v>
      </c>
    </row>
    <row r="709" spans="2:16" ht="20.100000000000001" customHeight="1" x14ac:dyDescent="0.2">
      <c r="B709" s="4">
        <v>707</v>
      </c>
      <c r="C709" s="4">
        <v>4101004</v>
      </c>
      <c r="D709" s="2" t="s">
        <v>529</v>
      </c>
      <c r="E709" s="2" t="s">
        <v>529</v>
      </c>
      <c r="G709" s="1" t="str">
        <f>LEFT(الصنف[[#This Row],[تصنيف فرعي (2)]],4)</f>
        <v>4101</v>
      </c>
      <c r="H709" s="5" t="s">
        <v>1038</v>
      </c>
      <c r="I709" s="5" t="str">
        <f>LEFT(الصنف[[#This Row],[تصنيف فرعي (1)]],2)</f>
        <v>41</v>
      </c>
      <c r="J709" s="1" t="s">
        <v>902</v>
      </c>
      <c r="K709" s="1">
        <f>VLOOKUP(الصنف[[#This Row],[وحده القياس]],$S$4:$T$67,2,TRUE)</f>
        <v>43</v>
      </c>
      <c r="L709" s="1" t="s">
        <v>742</v>
      </c>
      <c r="M709" s="1">
        <v>1</v>
      </c>
      <c r="N709" s="6" t="s">
        <v>742</v>
      </c>
      <c r="O709" s="7"/>
      <c r="P709" s="9">
        <f>IF(الصنف[[#This Row],[وحده المكونات]]="جرام",1,0)</f>
        <v>0</v>
      </c>
    </row>
    <row r="710" spans="2:16" ht="20.100000000000001" customHeight="1" x14ac:dyDescent="0.2">
      <c r="B710" s="4">
        <v>708</v>
      </c>
      <c r="C710" s="4">
        <v>4101005</v>
      </c>
      <c r="D710" s="2" t="s">
        <v>171</v>
      </c>
      <c r="E710" s="2" t="s">
        <v>171</v>
      </c>
      <c r="G710" s="1" t="str">
        <f>LEFT(الصنف[[#This Row],[تصنيف فرعي (2)]],4)</f>
        <v>4101</v>
      </c>
      <c r="H710" s="5" t="s">
        <v>1038</v>
      </c>
      <c r="I710" s="5" t="str">
        <f>LEFT(الصنف[[#This Row],[تصنيف فرعي (1)]],2)</f>
        <v>41</v>
      </c>
      <c r="J710" s="1" t="s">
        <v>902</v>
      </c>
      <c r="K710" s="1">
        <f>VLOOKUP(الصنف[[#This Row],[وحده القياس]],$S$4:$T$67,2,TRUE)</f>
        <v>43</v>
      </c>
      <c r="L710" s="1" t="s">
        <v>742</v>
      </c>
      <c r="M710" s="1">
        <v>1</v>
      </c>
      <c r="N710" s="6" t="s">
        <v>742</v>
      </c>
      <c r="O710" s="7"/>
      <c r="P710" s="9">
        <f>IF(الصنف[[#This Row],[وحده المكونات]]="جرام",1,0)</f>
        <v>0</v>
      </c>
    </row>
    <row r="711" spans="2:16" ht="20.100000000000001" customHeight="1" x14ac:dyDescent="0.2">
      <c r="B711" s="4">
        <v>709</v>
      </c>
      <c r="C711" s="4">
        <v>4102001</v>
      </c>
      <c r="D711" s="2" t="s">
        <v>363</v>
      </c>
      <c r="E711" s="2" t="s">
        <v>363</v>
      </c>
      <c r="G711" s="1" t="str">
        <f>LEFT(الصنف[[#This Row],[تصنيف فرعي (2)]],4)</f>
        <v>4102</v>
      </c>
      <c r="H711" s="5" t="s">
        <v>1039</v>
      </c>
      <c r="I711" s="5" t="str">
        <f>LEFT(الصنف[[#This Row],[تصنيف فرعي (1)]],2)</f>
        <v>41</v>
      </c>
      <c r="J711" s="1" t="s">
        <v>902</v>
      </c>
      <c r="K711" s="1">
        <f>VLOOKUP(الصنف[[#This Row],[وحده القياس]],$S$4:$T$67,2,TRUE)</f>
        <v>10</v>
      </c>
      <c r="L711" s="1" t="s">
        <v>385</v>
      </c>
      <c r="M711" s="1">
        <v>1</v>
      </c>
      <c r="N711" s="6" t="s">
        <v>385</v>
      </c>
      <c r="O711" s="7"/>
      <c r="P711" s="9">
        <f>IF(الصنف[[#This Row],[وحده المكونات]]="جرام",1,0)</f>
        <v>0</v>
      </c>
    </row>
    <row r="712" spans="2:16" ht="20.100000000000001" customHeight="1" x14ac:dyDescent="0.2">
      <c r="B712" s="4">
        <v>710</v>
      </c>
      <c r="C712" s="4">
        <v>4103001</v>
      </c>
      <c r="D712" s="2" t="s">
        <v>304</v>
      </c>
      <c r="E712" s="2" t="s">
        <v>304</v>
      </c>
      <c r="G712" s="1" t="str">
        <f>LEFT(الصنف[[#This Row],[تصنيف فرعي (2)]],4)</f>
        <v>4103</v>
      </c>
      <c r="H712" s="5" t="s">
        <v>1040</v>
      </c>
      <c r="I712" s="5" t="str">
        <f>LEFT(الصنف[[#This Row],[تصنيف فرعي (1)]],2)</f>
        <v>41</v>
      </c>
      <c r="J712" s="1" t="s">
        <v>902</v>
      </c>
      <c r="K712" s="1">
        <f>VLOOKUP(الصنف[[#This Row],[وحده القياس]],$S$4:$T$67,2,TRUE)</f>
        <v>43</v>
      </c>
      <c r="L712" s="1" t="s">
        <v>742</v>
      </c>
      <c r="M712" s="1">
        <v>1</v>
      </c>
      <c r="N712" s="6" t="s">
        <v>742</v>
      </c>
      <c r="O712" s="7"/>
      <c r="P712" s="9">
        <f>IF(الصنف[[#This Row],[وحده المكونات]]="جرام",1,0)</f>
        <v>0</v>
      </c>
    </row>
    <row r="713" spans="2:16" ht="20.100000000000001" customHeight="1" x14ac:dyDescent="0.2">
      <c r="B713" s="4">
        <v>711</v>
      </c>
      <c r="C713" s="4">
        <v>4103002</v>
      </c>
      <c r="D713" s="2" t="s">
        <v>533</v>
      </c>
      <c r="E713" s="2" t="s">
        <v>533</v>
      </c>
      <c r="G713" s="1" t="str">
        <f>LEFT(الصنف[[#This Row],[تصنيف فرعي (2)]],4)</f>
        <v>4103</v>
      </c>
      <c r="H713" s="5" t="s">
        <v>1040</v>
      </c>
      <c r="I713" s="5" t="str">
        <f>LEFT(الصنف[[#This Row],[تصنيف فرعي (1)]],2)</f>
        <v>41</v>
      </c>
      <c r="J713" s="1" t="s">
        <v>902</v>
      </c>
      <c r="K713" s="1">
        <f>VLOOKUP(الصنف[[#This Row],[وحده القياس]],$S$4:$T$67,2,TRUE)</f>
        <v>43</v>
      </c>
      <c r="L713" s="1" t="s">
        <v>742</v>
      </c>
      <c r="M713" s="1">
        <v>1</v>
      </c>
      <c r="N713" s="6" t="s">
        <v>742</v>
      </c>
      <c r="O713" s="7"/>
      <c r="P713" s="9">
        <f>IF(الصنف[[#This Row],[وحده المكونات]]="جرام",1,0)</f>
        <v>0</v>
      </c>
    </row>
    <row r="714" spans="2:16" ht="20.100000000000001" customHeight="1" x14ac:dyDescent="0.2">
      <c r="B714" s="4">
        <v>712</v>
      </c>
      <c r="C714" s="4">
        <v>4103003</v>
      </c>
      <c r="D714" s="2" t="s">
        <v>289</v>
      </c>
      <c r="E714" s="2" t="s">
        <v>289</v>
      </c>
      <c r="G714" s="1" t="str">
        <f>LEFT(الصنف[[#This Row],[تصنيف فرعي (2)]],4)</f>
        <v>4103</v>
      </c>
      <c r="H714" s="5" t="s">
        <v>1040</v>
      </c>
      <c r="I714" s="5" t="str">
        <f>LEFT(الصنف[[#This Row],[تصنيف فرعي (1)]],2)</f>
        <v>41</v>
      </c>
      <c r="J714" s="1" t="s">
        <v>902</v>
      </c>
      <c r="K714" s="1">
        <f>VLOOKUP(الصنف[[#This Row],[وحده القياس]],$S$4:$T$67,2,TRUE)</f>
        <v>43</v>
      </c>
      <c r="L714" s="1" t="s">
        <v>742</v>
      </c>
      <c r="M714" s="1">
        <v>1</v>
      </c>
      <c r="N714" s="6" t="s">
        <v>742</v>
      </c>
      <c r="O714" s="7"/>
      <c r="P714" s="9">
        <f>IF(الصنف[[#This Row],[وحده المكونات]]="جرام",1,0)</f>
        <v>0</v>
      </c>
    </row>
    <row r="715" spans="2:16" ht="20.100000000000001" customHeight="1" x14ac:dyDescent="0.2">
      <c r="B715" s="4">
        <v>713</v>
      </c>
      <c r="C715" s="4">
        <v>4103004</v>
      </c>
      <c r="D715" s="2" t="s">
        <v>213</v>
      </c>
      <c r="E715" s="2" t="s">
        <v>213</v>
      </c>
      <c r="G715" s="1" t="str">
        <f>LEFT(الصنف[[#This Row],[تصنيف فرعي (2)]],4)</f>
        <v>4103</v>
      </c>
      <c r="H715" s="5" t="s">
        <v>1040</v>
      </c>
      <c r="I715" s="5" t="str">
        <f>LEFT(الصنف[[#This Row],[تصنيف فرعي (1)]],2)</f>
        <v>41</v>
      </c>
      <c r="J715" s="1" t="s">
        <v>902</v>
      </c>
      <c r="K715" s="1">
        <f>VLOOKUP(الصنف[[#This Row],[وحده القياس]],$S$4:$T$67,2,TRUE)</f>
        <v>43</v>
      </c>
      <c r="L715" s="1" t="s">
        <v>742</v>
      </c>
      <c r="M715" s="1">
        <v>1</v>
      </c>
      <c r="N715" s="6" t="s">
        <v>742</v>
      </c>
      <c r="O715" s="7"/>
      <c r="P715" s="9">
        <f>IF(الصنف[[#This Row],[وحده المكونات]]="جرام",1,0)</f>
        <v>0</v>
      </c>
    </row>
    <row r="716" spans="2:16" ht="20.100000000000001" customHeight="1" x14ac:dyDescent="0.2">
      <c r="B716" s="4">
        <v>714</v>
      </c>
      <c r="C716" s="4">
        <v>4103005</v>
      </c>
      <c r="D716" s="2" t="s">
        <v>558</v>
      </c>
      <c r="E716" s="2" t="s">
        <v>558</v>
      </c>
      <c r="G716" s="1" t="str">
        <f>LEFT(الصنف[[#This Row],[تصنيف فرعي (2)]],4)</f>
        <v>4103</v>
      </c>
      <c r="H716" s="5" t="s">
        <v>1040</v>
      </c>
      <c r="I716" s="5" t="str">
        <f>LEFT(الصنف[[#This Row],[تصنيف فرعي (1)]],2)</f>
        <v>41</v>
      </c>
      <c r="J716" s="1" t="s">
        <v>902</v>
      </c>
      <c r="K716" s="1">
        <f>VLOOKUP(الصنف[[#This Row],[وحده القياس]],$S$4:$T$67,2,TRUE)</f>
        <v>43</v>
      </c>
      <c r="L716" s="1" t="s">
        <v>742</v>
      </c>
      <c r="M716" s="1">
        <v>1</v>
      </c>
      <c r="N716" s="6" t="s">
        <v>742</v>
      </c>
      <c r="O716" s="7"/>
      <c r="P716" s="9">
        <f>IF(الصنف[[#This Row],[وحده المكونات]]="جرام",1,0)</f>
        <v>0</v>
      </c>
    </row>
    <row r="717" spans="2:16" ht="20.100000000000001" customHeight="1" x14ac:dyDescent="0.2">
      <c r="B717" s="4">
        <v>715</v>
      </c>
      <c r="C717" s="4">
        <v>5301001</v>
      </c>
      <c r="D717" s="2" t="s">
        <v>294</v>
      </c>
      <c r="E717" s="2" t="s">
        <v>294</v>
      </c>
      <c r="G717" s="1" t="str">
        <f>LEFT(الصنف[[#This Row],[تصنيف فرعي (2)]],4)</f>
        <v>5301</v>
      </c>
      <c r="H717" s="5" t="s">
        <v>1041</v>
      </c>
      <c r="I717" s="5" t="str">
        <f>LEFT(الصنف[[#This Row],[تصنيف فرعي (1)]],2)</f>
        <v>53</v>
      </c>
      <c r="J717" s="1" t="s">
        <v>670</v>
      </c>
      <c r="K717" s="1">
        <f>VLOOKUP(الصنف[[#This Row],[وحده القياس]],$S$4:$T$67,2,TRUE)</f>
        <v>43</v>
      </c>
      <c r="L717" s="1" t="s">
        <v>742</v>
      </c>
      <c r="M717" s="1">
        <v>1</v>
      </c>
      <c r="N717" s="6" t="s">
        <v>742</v>
      </c>
      <c r="O717" s="7"/>
      <c r="P717" s="9">
        <f>IF(الصنف[[#This Row],[وحده المكونات]]="جرام",1,0)</f>
        <v>0</v>
      </c>
    </row>
    <row r="718" spans="2:16" ht="20.100000000000001" customHeight="1" x14ac:dyDescent="0.2">
      <c r="B718" s="4">
        <v>716</v>
      </c>
      <c r="C718" s="4">
        <v>5301002</v>
      </c>
      <c r="D718" s="2" t="s">
        <v>295</v>
      </c>
      <c r="E718" s="2" t="s">
        <v>295</v>
      </c>
      <c r="G718" s="1" t="str">
        <f>LEFT(الصنف[[#This Row],[تصنيف فرعي (2)]],4)</f>
        <v>5301</v>
      </c>
      <c r="H718" s="5" t="s">
        <v>1041</v>
      </c>
      <c r="I718" s="5" t="str">
        <f>LEFT(الصنف[[#This Row],[تصنيف فرعي (1)]],2)</f>
        <v>53</v>
      </c>
      <c r="J718" s="1" t="s">
        <v>670</v>
      </c>
      <c r="K718" s="1">
        <f>VLOOKUP(الصنف[[#This Row],[وحده القياس]],$S$4:$T$67,2,TRUE)</f>
        <v>43</v>
      </c>
      <c r="L718" s="1" t="s">
        <v>742</v>
      </c>
      <c r="M718" s="1">
        <v>1</v>
      </c>
      <c r="N718" s="6" t="s">
        <v>742</v>
      </c>
      <c r="O718" s="7"/>
      <c r="P718" s="9">
        <f>IF(الصنف[[#This Row],[وحده المكونات]]="جرام",1,0)</f>
        <v>0</v>
      </c>
    </row>
    <row r="719" spans="2:16" ht="20.100000000000001" customHeight="1" x14ac:dyDescent="0.2">
      <c r="B719" s="4">
        <v>717</v>
      </c>
      <c r="C719" s="4">
        <v>5301003</v>
      </c>
      <c r="D719" s="2" t="s">
        <v>463</v>
      </c>
      <c r="E719" s="2" t="s">
        <v>463</v>
      </c>
      <c r="G719" s="1" t="str">
        <f>LEFT(الصنف[[#This Row],[تصنيف فرعي (2)]],4)</f>
        <v>5301</v>
      </c>
      <c r="H719" s="5" t="s">
        <v>1041</v>
      </c>
      <c r="I719" s="5" t="str">
        <f>LEFT(الصنف[[#This Row],[تصنيف فرعي (1)]],2)</f>
        <v>53</v>
      </c>
      <c r="J719" s="1" t="s">
        <v>670</v>
      </c>
      <c r="K719" s="1">
        <f>VLOOKUP(الصنف[[#This Row],[وحده القياس]],$S$4:$T$67,2,TRUE)</f>
        <v>43</v>
      </c>
      <c r="L719" s="1" t="s">
        <v>742</v>
      </c>
      <c r="M719" s="1">
        <v>1</v>
      </c>
      <c r="N719" s="6" t="s">
        <v>742</v>
      </c>
      <c r="O719" s="7"/>
      <c r="P719" s="9">
        <f>IF(الصنف[[#This Row],[وحده المكونات]]="جرام",1,0)</f>
        <v>0</v>
      </c>
    </row>
    <row r="720" spans="2:16" ht="20.100000000000001" customHeight="1" x14ac:dyDescent="0.2">
      <c r="B720" s="4">
        <v>718</v>
      </c>
      <c r="C720" s="4">
        <v>5301004</v>
      </c>
      <c r="D720" s="2" t="s">
        <v>464</v>
      </c>
      <c r="E720" s="2" t="s">
        <v>464</v>
      </c>
      <c r="G720" s="1" t="str">
        <f>LEFT(الصنف[[#This Row],[تصنيف فرعي (2)]],4)</f>
        <v>5301</v>
      </c>
      <c r="H720" s="5" t="s">
        <v>1041</v>
      </c>
      <c r="I720" s="5" t="str">
        <f>LEFT(الصنف[[#This Row],[تصنيف فرعي (1)]],2)</f>
        <v>53</v>
      </c>
      <c r="J720" s="1" t="s">
        <v>670</v>
      </c>
      <c r="K720" s="1">
        <f>VLOOKUP(الصنف[[#This Row],[وحده القياس]],$S$4:$T$67,2,TRUE)</f>
        <v>43</v>
      </c>
      <c r="L720" s="1" t="s">
        <v>742</v>
      </c>
      <c r="M720" s="1">
        <v>1</v>
      </c>
      <c r="N720" s="6" t="s">
        <v>742</v>
      </c>
      <c r="O720" s="7"/>
      <c r="P720" s="9">
        <f>IF(الصنف[[#This Row],[وحده المكونات]]="جرام",1,0)</f>
        <v>0</v>
      </c>
    </row>
    <row r="721" spans="2:16" ht="20.100000000000001" customHeight="1" x14ac:dyDescent="0.2">
      <c r="B721" s="4">
        <v>719</v>
      </c>
      <c r="C721" s="4">
        <v>5401001</v>
      </c>
      <c r="D721" s="2" t="s">
        <v>132</v>
      </c>
      <c r="E721" s="2" t="s">
        <v>132</v>
      </c>
      <c r="G721" s="1" t="str">
        <f>LEFT(الصنف[[#This Row],[تصنيف فرعي (2)]],4)</f>
        <v>5401</v>
      </c>
      <c r="H721" s="5" t="s">
        <v>1042</v>
      </c>
      <c r="I721" s="5" t="str">
        <f>LEFT(الصنف[[#This Row],[تصنيف فرعي (1)]],2)</f>
        <v>54</v>
      </c>
      <c r="J721" s="1" t="s">
        <v>671</v>
      </c>
      <c r="K721" s="1">
        <f>VLOOKUP(الصنف[[#This Row],[وحده القياس]],$S$4:$T$67,2,TRUE)</f>
        <v>23</v>
      </c>
      <c r="L721" s="1" t="s">
        <v>384</v>
      </c>
      <c r="M721" s="1">
        <v>1</v>
      </c>
      <c r="N721" s="6" t="s">
        <v>384</v>
      </c>
      <c r="O721" s="7"/>
      <c r="P721" s="9">
        <f>IF(الصنف[[#This Row],[وحده المكونات]]="جرام",1,0)</f>
        <v>0</v>
      </c>
    </row>
    <row r="722" spans="2:16" ht="20.100000000000001" customHeight="1" x14ac:dyDescent="0.2">
      <c r="B722" s="4">
        <v>720</v>
      </c>
      <c r="C722" s="4">
        <v>8101001</v>
      </c>
      <c r="D722" s="2" t="s">
        <v>285</v>
      </c>
      <c r="E722" s="2" t="s">
        <v>285</v>
      </c>
      <c r="G722" s="1" t="str">
        <f>LEFT(الصنف[[#This Row],[تصنيف فرعي (2)]],4)</f>
        <v>8101</v>
      </c>
      <c r="H722" s="5" t="s">
        <v>1043</v>
      </c>
      <c r="I722" s="5" t="str">
        <f>LEFT(الصنف[[#This Row],[تصنيف فرعي (1)]],2)</f>
        <v>81</v>
      </c>
      <c r="J722" s="1" t="s">
        <v>696</v>
      </c>
      <c r="K722" s="1">
        <f>VLOOKUP(الصنف[[#This Row],[وحده القياس]],$S$4:$T$67,2,TRUE)</f>
        <v>43</v>
      </c>
      <c r="L722" s="1" t="s">
        <v>742</v>
      </c>
      <c r="M722" s="1">
        <v>1</v>
      </c>
      <c r="N722" s="6" t="s">
        <v>742</v>
      </c>
      <c r="O722" s="7"/>
      <c r="P722" s="9">
        <f>IF(الصنف[[#This Row],[وحده المكونات]]="جرام",1,0)</f>
        <v>0</v>
      </c>
    </row>
    <row r="723" spans="2:16" ht="20.100000000000001" customHeight="1" x14ac:dyDescent="0.2">
      <c r="B723" s="4">
        <v>721</v>
      </c>
      <c r="C723" s="4">
        <v>8101002</v>
      </c>
      <c r="D723" s="2" t="s">
        <v>459</v>
      </c>
      <c r="E723" s="2" t="s">
        <v>459</v>
      </c>
      <c r="G723" s="1" t="str">
        <f>LEFT(الصنف[[#This Row],[تصنيف فرعي (2)]],4)</f>
        <v>8101</v>
      </c>
      <c r="H723" s="5" t="s">
        <v>1043</v>
      </c>
      <c r="I723" s="5" t="str">
        <f>LEFT(الصنف[[#This Row],[تصنيف فرعي (1)]],2)</f>
        <v>81</v>
      </c>
      <c r="J723" s="1" t="s">
        <v>696</v>
      </c>
      <c r="K723" s="1">
        <f>VLOOKUP(الصنف[[#This Row],[وحده القياس]],$S$4:$T$67,2,TRUE)</f>
        <v>43</v>
      </c>
      <c r="L723" s="1" t="s">
        <v>742</v>
      </c>
      <c r="M723" s="1">
        <v>1</v>
      </c>
      <c r="N723" s="6" t="s">
        <v>742</v>
      </c>
      <c r="O723" s="7"/>
      <c r="P723" s="9">
        <f>IF(الصنف[[#This Row],[وحده المكونات]]="جرام",1,0)</f>
        <v>0</v>
      </c>
    </row>
    <row r="724" spans="2:16" ht="20.100000000000001" customHeight="1" x14ac:dyDescent="0.2">
      <c r="B724" s="4">
        <v>722</v>
      </c>
      <c r="C724" s="4">
        <v>9101001</v>
      </c>
      <c r="D724" s="2" t="s">
        <v>136</v>
      </c>
      <c r="E724" s="2" t="s">
        <v>136</v>
      </c>
      <c r="G724" s="1" t="str">
        <f>LEFT(الصنف[[#This Row],[تصنيف فرعي (2)]],4)</f>
        <v>9101</v>
      </c>
      <c r="H724" s="5" t="s">
        <v>1044</v>
      </c>
      <c r="I724" s="5" t="str">
        <f>LEFT(الصنف[[#This Row],[تصنيف فرعي (1)]],2)</f>
        <v>91</v>
      </c>
      <c r="J724" s="1" t="s">
        <v>903</v>
      </c>
      <c r="K724" s="1">
        <f>VLOOKUP(الصنف[[#This Row],[وحده القياس]],$S$4:$T$67,2,TRUE)</f>
        <v>43</v>
      </c>
      <c r="L724" s="1" t="s">
        <v>742</v>
      </c>
      <c r="M724" s="1">
        <v>1</v>
      </c>
      <c r="N724" s="6" t="s">
        <v>742</v>
      </c>
      <c r="O724" s="7"/>
      <c r="P724" s="9">
        <f>IF(الصنف[[#This Row],[وحده المكونات]]="جرام",1,0)</f>
        <v>0</v>
      </c>
    </row>
    <row r="725" spans="2:16" ht="20.100000000000001" customHeight="1" x14ac:dyDescent="0.2">
      <c r="B725" s="4">
        <v>723</v>
      </c>
      <c r="C725" s="4">
        <v>9101002</v>
      </c>
      <c r="D725" s="2" t="s">
        <v>493</v>
      </c>
      <c r="E725" s="2" t="s">
        <v>493</v>
      </c>
      <c r="G725" s="1" t="str">
        <f>LEFT(الصنف[[#This Row],[تصنيف فرعي (2)]],4)</f>
        <v>9101</v>
      </c>
      <c r="H725" s="5" t="s">
        <v>1044</v>
      </c>
      <c r="I725" s="5" t="str">
        <f>LEFT(الصنف[[#This Row],[تصنيف فرعي (1)]],2)</f>
        <v>91</v>
      </c>
      <c r="J725" s="1" t="s">
        <v>903</v>
      </c>
      <c r="K725" s="1">
        <f>VLOOKUP(الصنف[[#This Row],[وحده القياس]],$S$4:$T$67,2,TRUE)</f>
        <v>43</v>
      </c>
      <c r="L725" s="1" t="s">
        <v>742</v>
      </c>
      <c r="M725" s="1">
        <v>1</v>
      </c>
      <c r="N725" s="6" t="s">
        <v>742</v>
      </c>
      <c r="O725" s="7"/>
      <c r="P725" s="9">
        <f>IF(الصنف[[#This Row],[وحده المكونات]]="جرام",1,0)</f>
        <v>0</v>
      </c>
    </row>
    <row r="726" spans="2:16" ht="20.100000000000001" customHeight="1" x14ac:dyDescent="0.2">
      <c r="B726" s="4">
        <v>724</v>
      </c>
      <c r="C726" s="4">
        <v>9101003</v>
      </c>
      <c r="D726" s="2" t="s">
        <v>269</v>
      </c>
      <c r="E726" s="2" t="s">
        <v>269</v>
      </c>
      <c r="G726" s="1" t="str">
        <f>LEFT(الصنف[[#This Row],[تصنيف فرعي (2)]],4)</f>
        <v>9101</v>
      </c>
      <c r="H726" s="5" t="s">
        <v>1044</v>
      </c>
      <c r="I726" s="5" t="str">
        <f>LEFT(الصنف[[#This Row],[تصنيف فرعي (1)]],2)</f>
        <v>91</v>
      </c>
      <c r="J726" s="1" t="s">
        <v>903</v>
      </c>
      <c r="K726" s="1">
        <f>VLOOKUP(الصنف[[#This Row],[وحده القياس]],$S$4:$T$67,2,TRUE)</f>
        <v>43</v>
      </c>
      <c r="L726" s="1" t="s">
        <v>742</v>
      </c>
      <c r="M726" s="1">
        <v>1</v>
      </c>
      <c r="N726" s="6" t="s">
        <v>742</v>
      </c>
      <c r="O726" s="7"/>
      <c r="P726" s="9">
        <f>IF(الصنف[[#This Row],[وحده المكونات]]="جرام",1,0)</f>
        <v>0</v>
      </c>
    </row>
    <row r="727" spans="2:16" ht="20.100000000000001" customHeight="1" x14ac:dyDescent="0.2">
      <c r="B727" s="4">
        <v>725</v>
      </c>
      <c r="C727" s="4">
        <v>9101004</v>
      </c>
      <c r="D727" s="2" t="s">
        <v>517</v>
      </c>
      <c r="E727" s="2" t="s">
        <v>517</v>
      </c>
      <c r="G727" s="1" t="str">
        <f>LEFT(الصنف[[#This Row],[تصنيف فرعي (2)]],4)</f>
        <v>9101</v>
      </c>
      <c r="H727" s="5" t="s">
        <v>1044</v>
      </c>
      <c r="I727" s="5" t="str">
        <f>LEFT(الصنف[[#This Row],[تصنيف فرعي (1)]],2)</f>
        <v>91</v>
      </c>
      <c r="J727" s="1" t="s">
        <v>903</v>
      </c>
      <c r="K727" s="1">
        <f>VLOOKUP(الصنف[[#This Row],[وحده القياس]],$S$4:$T$67,2,TRUE)</f>
        <v>43</v>
      </c>
      <c r="L727" s="1" t="s">
        <v>742</v>
      </c>
      <c r="M727" s="1">
        <v>1</v>
      </c>
      <c r="N727" s="6" t="s">
        <v>742</v>
      </c>
      <c r="O727" s="7"/>
      <c r="P727" s="9">
        <f>IF(الصنف[[#This Row],[وحده المكونات]]="جرام",1,0)</f>
        <v>0</v>
      </c>
    </row>
    <row r="728" spans="2:16" ht="20.100000000000001" customHeight="1" x14ac:dyDescent="0.2">
      <c r="B728" s="4">
        <v>726</v>
      </c>
      <c r="C728" s="4">
        <v>9101005</v>
      </c>
      <c r="D728" s="2" t="s">
        <v>518</v>
      </c>
      <c r="E728" s="2" t="s">
        <v>518</v>
      </c>
      <c r="G728" s="1" t="str">
        <f>LEFT(الصنف[[#This Row],[تصنيف فرعي (2)]],4)</f>
        <v>9101</v>
      </c>
      <c r="H728" s="5" t="s">
        <v>1044</v>
      </c>
      <c r="I728" s="5" t="str">
        <f>LEFT(الصنف[[#This Row],[تصنيف فرعي (1)]],2)</f>
        <v>91</v>
      </c>
      <c r="J728" s="1" t="s">
        <v>903</v>
      </c>
      <c r="K728" s="1">
        <f>VLOOKUP(الصنف[[#This Row],[وحده القياس]],$S$4:$T$67,2,TRUE)</f>
        <v>43</v>
      </c>
      <c r="L728" s="1" t="s">
        <v>742</v>
      </c>
      <c r="M728" s="1">
        <v>1</v>
      </c>
      <c r="N728" s="6" t="s">
        <v>742</v>
      </c>
      <c r="O728" s="7"/>
      <c r="P728" s="9">
        <f>IF(الصنف[[#This Row],[وحده المكونات]]="جرام",1,0)</f>
        <v>0</v>
      </c>
    </row>
    <row r="729" spans="2:16" ht="20.100000000000001" customHeight="1" x14ac:dyDescent="0.2">
      <c r="B729" s="4">
        <v>727</v>
      </c>
      <c r="C729" s="4">
        <v>9102001</v>
      </c>
      <c r="D729" s="2" t="s">
        <v>460</v>
      </c>
      <c r="E729" s="2" t="s">
        <v>460</v>
      </c>
      <c r="G729" s="1" t="str">
        <f>LEFT(الصنف[[#This Row],[تصنيف فرعي (2)]],4)</f>
        <v>9102</v>
      </c>
      <c r="H729" s="5" t="s">
        <v>1046</v>
      </c>
      <c r="I729" s="5" t="str">
        <f>LEFT(الصنف[[#This Row],[تصنيف فرعي (1)]],2)</f>
        <v>91</v>
      </c>
      <c r="J729" s="1" t="s">
        <v>903</v>
      </c>
      <c r="K729" s="1">
        <f>VLOOKUP(الصنف[[#This Row],[وحده القياس]],$S$4:$T$67,2,TRUE)</f>
        <v>43</v>
      </c>
      <c r="L729" s="1" t="s">
        <v>742</v>
      </c>
      <c r="M729" s="1">
        <v>1</v>
      </c>
      <c r="N729" s="6" t="s">
        <v>742</v>
      </c>
      <c r="O729" s="7"/>
      <c r="P729" s="9">
        <f>IF(الصنف[[#This Row],[وحده المكونات]]="جرام",1,0)</f>
        <v>0</v>
      </c>
    </row>
    <row r="730" spans="2:16" ht="20.100000000000001" customHeight="1" x14ac:dyDescent="0.2">
      <c r="B730" s="4">
        <v>728</v>
      </c>
      <c r="C730" s="4">
        <v>9103001</v>
      </c>
      <c r="D730" s="2" t="s">
        <v>492</v>
      </c>
      <c r="E730" s="2" t="s">
        <v>492</v>
      </c>
      <c r="G730" s="1" t="str">
        <f>LEFT(الصنف[[#This Row],[تصنيف فرعي (2)]],4)</f>
        <v>9103</v>
      </c>
      <c r="H730" s="5" t="s">
        <v>1045</v>
      </c>
      <c r="I730" s="5" t="str">
        <f>LEFT(الصنف[[#This Row],[تصنيف فرعي (1)]],2)</f>
        <v>91</v>
      </c>
      <c r="J730" s="1" t="s">
        <v>903</v>
      </c>
      <c r="K730" s="1">
        <f>VLOOKUP(الصنف[[#This Row],[وحده القياس]],$S$4:$T$67,2,TRUE)</f>
        <v>43</v>
      </c>
      <c r="L730" s="1" t="s">
        <v>742</v>
      </c>
      <c r="M730" s="1">
        <v>1</v>
      </c>
      <c r="N730" s="6" t="s">
        <v>742</v>
      </c>
      <c r="O730" s="7"/>
      <c r="P730" s="9">
        <f>IF(الصنف[[#This Row],[وحده المكونات]]="جرام",1,0)</f>
        <v>0</v>
      </c>
    </row>
    <row r="731" spans="2:16" ht="20.100000000000001" customHeight="1" x14ac:dyDescent="0.2">
      <c r="B731" s="4">
        <v>729</v>
      </c>
      <c r="C731" s="4">
        <v>9103002</v>
      </c>
      <c r="D731" s="2" t="s">
        <v>182</v>
      </c>
      <c r="E731" s="2" t="s">
        <v>182</v>
      </c>
      <c r="G731" s="1" t="str">
        <f>LEFT(الصنف[[#This Row],[تصنيف فرعي (2)]],4)</f>
        <v>9103</v>
      </c>
      <c r="H731" s="5" t="s">
        <v>1045</v>
      </c>
      <c r="I731" s="5" t="str">
        <f>LEFT(الصنف[[#This Row],[تصنيف فرعي (1)]],2)</f>
        <v>91</v>
      </c>
      <c r="J731" s="1" t="s">
        <v>903</v>
      </c>
      <c r="K731" s="1">
        <f>VLOOKUP(الصنف[[#This Row],[وحده القياس]],$S$4:$T$67,2,TRUE)</f>
        <v>43</v>
      </c>
      <c r="L731" s="1" t="s">
        <v>742</v>
      </c>
      <c r="M731" s="1">
        <v>1</v>
      </c>
      <c r="N731" s="6" t="s">
        <v>742</v>
      </c>
      <c r="O731" s="7"/>
      <c r="P731" s="9">
        <f>IF(الصنف[[#This Row],[وحده المكونات]]="جرام",1,0)</f>
        <v>0</v>
      </c>
    </row>
    <row r="732" spans="2:16" ht="20.100000000000001" customHeight="1" x14ac:dyDescent="0.2">
      <c r="B732" s="4">
        <v>730</v>
      </c>
      <c r="C732" s="4">
        <v>9103003</v>
      </c>
      <c r="D732" s="2" t="s">
        <v>494</v>
      </c>
      <c r="E732" s="2" t="s">
        <v>494</v>
      </c>
      <c r="G732" s="1" t="str">
        <f>LEFT(الصنف[[#This Row],[تصنيف فرعي (2)]],4)</f>
        <v>9103</v>
      </c>
      <c r="H732" s="5" t="s">
        <v>1045</v>
      </c>
      <c r="I732" s="5" t="str">
        <f>LEFT(الصنف[[#This Row],[تصنيف فرعي (1)]],2)</f>
        <v>91</v>
      </c>
      <c r="J732" s="1" t="s">
        <v>903</v>
      </c>
      <c r="K732" s="1">
        <f>VLOOKUP(الصنف[[#This Row],[وحده القياس]],$S$4:$T$67,2,TRUE)</f>
        <v>43</v>
      </c>
      <c r="L732" s="1" t="s">
        <v>742</v>
      </c>
      <c r="M732" s="1">
        <v>1</v>
      </c>
      <c r="N732" s="6" t="s">
        <v>742</v>
      </c>
      <c r="O732" s="7"/>
      <c r="P732" s="9">
        <f>IF(الصنف[[#This Row],[وحده المكونات]]="جرام",1,0)</f>
        <v>0</v>
      </c>
    </row>
    <row r="733" spans="2:16" ht="20.100000000000001" customHeight="1" x14ac:dyDescent="0.2">
      <c r="B733" s="4">
        <v>731</v>
      </c>
      <c r="C733" s="4">
        <v>9103004</v>
      </c>
      <c r="D733" s="2" t="s">
        <v>211</v>
      </c>
      <c r="E733" s="2" t="s">
        <v>211</v>
      </c>
      <c r="G733" s="1" t="str">
        <f>LEFT(الصنف[[#This Row],[تصنيف فرعي (2)]],4)</f>
        <v>9103</v>
      </c>
      <c r="H733" s="5" t="s">
        <v>1045</v>
      </c>
      <c r="I733" s="5" t="str">
        <f>LEFT(الصنف[[#This Row],[تصنيف فرعي (1)]],2)</f>
        <v>91</v>
      </c>
      <c r="J733" s="1" t="s">
        <v>903</v>
      </c>
      <c r="K733" s="1">
        <f>VLOOKUP(الصنف[[#This Row],[وحده القياس]],$S$4:$T$67,2,TRUE)</f>
        <v>43</v>
      </c>
      <c r="L733" s="1" t="s">
        <v>742</v>
      </c>
      <c r="M733" s="1">
        <v>1</v>
      </c>
      <c r="N733" s="6" t="s">
        <v>742</v>
      </c>
      <c r="O733" s="7"/>
      <c r="P733" s="9">
        <f>IF(الصنف[[#This Row],[وحده المكونات]]="جرام",1,0)</f>
        <v>0</v>
      </c>
    </row>
    <row r="734" spans="2:16" ht="20.100000000000001" customHeight="1" x14ac:dyDescent="0.2">
      <c r="B734" s="4">
        <v>732</v>
      </c>
      <c r="C734" s="4">
        <v>9103005</v>
      </c>
      <c r="D734" s="2" t="s">
        <v>538</v>
      </c>
      <c r="E734" s="2" t="s">
        <v>538</v>
      </c>
      <c r="G734" s="1" t="str">
        <f>LEFT(الصنف[[#This Row],[تصنيف فرعي (2)]],4)</f>
        <v>9103</v>
      </c>
      <c r="H734" s="5" t="s">
        <v>1045</v>
      </c>
      <c r="I734" s="5" t="str">
        <f>LEFT(الصنف[[#This Row],[تصنيف فرعي (1)]],2)</f>
        <v>91</v>
      </c>
      <c r="J734" s="1" t="s">
        <v>903</v>
      </c>
      <c r="K734" s="1">
        <f>VLOOKUP(الصنف[[#This Row],[وحده القياس]],$S$4:$T$67,2,TRUE)</f>
        <v>43</v>
      </c>
      <c r="L734" s="1" t="s">
        <v>742</v>
      </c>
      <c r="M734" s="1">
        <v>1</v>
      </c>
      <c r="N734" s="6" t="s">
        <v>742</v>
      </c>
      <c r="O734" s="7"/>
      <c r="P734" s="9">
        <f>IF(الصنف[[#This Row],[وحده المكونات]]="جرام",1,0)</f>
        <v>0</v>
      </c>
    </row>
    <row r="735" spans="2:16" ht="20.100000000000001" customHeight="1" x14ac:dyDescent="0.2">
      <c r="B735" s="4">
        <v>733</v>
      </c>
      <c r="C735" s="4">
        <v>9103006</v>
      </c>
      <c r="D735" s="2" t="s">
        <v>539</v>
      </c>
      <c r="E735" s="2" t="s">
        <v>539</v>
      </c>
      <c r="G735" s="1" t="str">
        <f>LEFT(الصنف[[#This Row],[تصنيف فرعي (2)]],4)</f>
        <v>9103</v>
      </c>
      <c r="H735" s="5" t="s">
        <v>1045</v>
      </c>
      <c r="I735" s="5" t="str">
        <f>LEFT(الصنف[[#This Row],[تصنيف فرعي (1)]],2)</f>
        <v>91</v>
      </c>
      <c r="J735" s="1" t="s">
        <v>903</v>
      </c>
      <c r="K735" s="1">
        <f>VLOOKUP(الصنف[[#This Row],[وحده القياس]],$S$4:$T$67,2,TRUE)</f>
        <v>43</v>
      </c>
      <c r="L735" s="1" t="s">
        <v>742</v>
      </c>
      <c r="M735" s="1">
        <v>1</v>
      </c>
      <c r="N735" s="6" t="s">
        <v>742</v>
      </c>
      <c r="O735" s="7"/>
      <c r="P735" s="9">
        <f>IF(الصنف[[#This Row],[وحده المكونات]]="جرام",1,0)</f>
        <v>0</v>
      </c>
    </row>
    <row r="736" spans="2:16" ht="20.100000000000001" customHeight="1" x14ac:dyDescent="0.2">
      <c r="B736" s="4">
        <v>734</v>
      </c>
      <c r="C736" s="4">
        <v>9103007</v>
      </c>
      <c r="D736" s="2" t="s">
        <v>212</v>
      </c>
      <c r="E736" s="2" t="s">
        <v>212</v>
      </c>
      <c r="G736" s="1" t="str">
        <f>LEFT(الصنف[[#This Row],[تصنيف فرعي (2)]],4)</f>
        <v>9103</v>
      </c>
      <c r="H736" s="5" t="s">
        <v>1045</v>
      </c>
      <c r="I736" s="5" t="str">
        <f>LEFT(الصنف[[#This Row],[تصنيف فرعي (1)]],2)</f>
        <v>91</v>
      </c>
      <c r="J736" s="1" t="s">
        <v>903</v>
      </c>
      <c r="K736" s="1">
        <f>VLOOKUP(الصنف[[#This Row],[وحده القياس]],$S$4:$T$67,2,TRUE)</f>
        <v>43</v>
      </c>
      <c r="L736" s="1" t="s">
        <v>742</v>
      </c>
      <c r="M736" s="1">
        <v>1</v>
      </c>
      <c r="N736" s="6" t="s">
        <v>742</v>
      </c>
      <c r="O736" s="7"/>
      <c r="P736" s="9">
        <f>IF(الصنف[[#This Row],[وحده المكونات]]="جرام",1,0)</f>
        <v>0</v>
      </c>
    </row>
    <row r="737" spans="2:16" ht="20.100000000000001" customHeight="1" x14ac:dyDescent="0.2">
      <c r="B737" s="4">
        <v>735</v>
      </c>
      <c r="C737" s="4">
        <v>9103008</v>
      </c>
      <c r="D737" s="2" t="s">
        <v>328</v>
      </c>
      <c r="E737" s="2" t="s">
        <v>328</v>
      </c>
      <c r="G737" s="1" t="str">
        <f>LEFT(الصنف[[#This Row],[تصنيف فرعي (2)]],4)</f>
        <v>9103</v>
      </c>
      <c r="H737" s="5" t="s">
        <v>1045</v>
      </c>
      <c r="I737" s="5" t="str">
        <f>LEFT(الصنف[[#This Row],[تصنيف فرعي (1)]],2)</f>
        <v>91</v>
      </c>
      <c r="J737" s="1" t="s">
        <v>903</v>
      </c>
      <c r="K737" s="1">
        <f>VLOOKUP(الصنف[[#This Row],[وحده القياس]],$S$4:$T$67,2,TRUE)</f>
        <v>43</v>
      </c>
      <c r="L737" s="1" t="s">
        <v>742</v>
      </c>
      <c r="M737" s="1">
        <v>1</v>
      </c>
      <c r="N737" s="6" t="s">
        <v>742</v>
      </c>
      <c r="O737" s="7"/>
      <c r="P737" s="9">
        <f>IF(الصنف[[#This Row],[وحده المكونات]]="جرام",1,0)</f>
        <v>0</v>
      </c>
    </row>
    <row r="738" spans="2:16" ht="20.100000000000001" customHeight="1" x14ac:dyDescent="0.2">
      <c r="B738" s="4">
        <v>736</v>
      </c>
      <c r="C738" s="4">
        <v>9103009</v>
      </c>
      <c r="D738" s="2" t="s">
        <v>552</v>
      </c>
      <c r="E738" s="2" t="s">
        <v>552</v>
      </c>
      <c r="G738" s="1" t="str">
        <f>LEFT(الصنف[[#This Row],[تصنيف فرعي (2)]],4)</f>
        <v>9103</v>
      </c>
      <c r="H738" s="5" t="s">
        <v>1045</v>
      </c>
      <c r="I738" s="5" t="str">
        <f>LEFT(الصنف[[#This Row],[تصنيف فرعي (1)]],2)</f>
        <v>91</v>
      </c>
      <c r="J738" s="1" t="s">
        <v>903</v>
      </c>
      <c r="K738" s="1">
        <f>VLOOKUP(الصنف[[#This Row],[وحده القياس]],$S$4:$T$67,2,TRUE)</f>
        <v>43</v>
      </c>
      <c r="L738" s="1" t="s">
        <v>742</v>
      </c>
      <c r="M738" s="1">
        <v>1</v>
      </c>
      <c r="N738" s="6" t="s">
        <v>742</v>
      </c>
      <c r="O738" s="7"/>
      <c r="P738" s="9">
        <f>IF(الصنف[[#This Row],[وحده المكونات]]="جرام",1,0)</f>
        <v>0</v>
      </c>
    </row>
    <row r="739" spans="2:16" ht="20.100000000000001" customHeight="1" x14ac:dyDescent="0.2">
      <c r="B739" s="4">
        <v>737</v>
      </c>
      <c r="C739" s="4">
        <v>9103010</v>
      </c>
      <c r="D739" s="2" t="s">
        <v>104</v>
      </c>
      <c r="E739" s="2" t="s">
        <v>104</v>
      </c>
      <c r="G739" s="1" t="str">
        <f>LEFT(الصنف[[#This Row],[تصنيف فرعي (2)]],4)</f>
        <v>9103</v>
      </c>
      <c r="H739" s="5" t="s">
        <v>1045</v>
      </c>
      <c r="I739" s="5" t="str">
        <f>LEFT(الصنف[[#This Row],[تصنيف فرعي (1)]],2)</f>
        <v>91</v>
      </c>
      <c r="J739" s="1" t="s">
        <v>903</v>
      </c>
      <c r="K739" s="1">
        <f>VLOOKUP(الصنف[[#This Row],[وحده القياس]],$S$4:$T$67,2,TRUE)</f>
        <v>43</v>
      </c>
      <c r="L739" s="1" t="s">
        <v>742</v>
      </c>
      <c r="M739" s="1">
        <v>1</v>
      </c>
      <c r="N739" s="6" t="s">
        <v>742</v>
      </c>
      <c r="O739" s="7"/>
      <c r="P739" s="9">
        <f>IF(الصنف[[#This Row],[وحده المكونات]]="جرام",1,0)</f>
        <v>0</v>
      </c>
    </row>
    <row r="740" spans="2:16" ht="20.100000000000001" customHeight="1" x14ac:dyDescent="0.2">
      <c r="B740" s="4">
        <v>738</v>
      </c>
      <c r="C740" s="4">
        <v>9103011</v>
      </c>
      <c r="D740" s="2" t="s">
        <v>166</v>
      </c>
      <c r="E740" s="2" t="s">
        <v>166</v>
      </c>
      <c r="G740" s="1" t="str">
        <f>LEFT(الصنف[[#This Row],[تصنيف فرعي (2)]],4)</f>
        <v>9103</v>
      </c>
      <c r="H740" s="5" t="s">
        <v>1045</v>
      </c>
      <c r="I740" s="5" t="str">
        <f>LEFT(الصنف[[#This Row],[تصنيف فرعي (1)]],2)</f>
        <v>91</v>
      </c>
      <c r="J740" s="1" t="s">
        <v>903</v>
      </c>
      <c r="K740" s="1">
        <f>VLOOKUP(الصنف[[#This Row],[وحده القياس]],$S$4:$T$67,2,TRUE)</f>
        <v>43</v>
      </c>
      <c r="L740" s="1" t="s">
        <v>742</v>
      </c>
      <c r="M740" s="1">
        <v>1</v>
      </c>
      <c r="N740" s="6" t="s">
        <v>742</v>
      </c>
      <c r="O740" s="7"/>
      <c r="P740" s="9">
        <f>IF(الصنف[[#This Row],[وحده المكونات]]="جرام",1,0)</f>
        <v>0</v>
      </c>
    </row>
    <row r="741" spans="2:16" ht="20.100000000000001" customHeight="1" x14ac:dyDescent="0.2">
      <c r="B741" s="4">
        <v>739</v>
      </c>
      <c r="C741" s="4">
        <v>9103012</v>
      </c>
      <c r="D741" s="2" t="s">
        <v>299</v>
      </c>
      <c r="E741" s="2" t="s">
        <v>299</v>
      </c>
      <c r="G741" s="1" t="str">
        <f>LEFT(الصنف[[#This Row],[تصنيف فرعي (2)]],4)</f>
        <v>9103</v>
      </c>
      <c r="H741" s="5" t="s">
        <v>1045</v>
      </c>
      <c r="I741" s="5" t="str">
        <f>LEFT(الصنف[[#This Row],[تصنيف فرعي (1)]],2)</f>
        <v>91</v>
      </c>
      <c r="J741" s="1" t="s">
        <v>903</v>
      </c>
      <c r="K741" s="1">
        <f>VLOOKUP(الصنف[[#This Row],[وحده القياس]],$S$4:$T$67,2,TRUE)</f>
        <v>43</v>
      </c>
      <c r="L741" s="1" t="s">
        <v>742</v>
      </c>
      <c r="M741" s="1">
        <v>1</v>
      </c>
      <c r="N741" s="6" t="s">
        <v>742</v>
      </c>
      <c r="O741" s="7"/>
      <c r="P741" s="9">
        <f>IF(الصنف[[#This Row],[وحده المكونات]]="جرام",1,0)</f>
        <v>0</v>
      </c>
    </row>
    <row r="742" spans="2:16" ht="20.100000000000001" customHeight="1" x14ac:dyDescent="0.2">
      <c r="B742" s="4">
        <v>740</v>
      </c>
      <c r="C742" s="4">
        <v>9103013</v>
      </c>
      <c r="D742" s="2" t="s">
        <v>167</v>
      </c>
      <c r="E742" s="2" t="s">
        <v>167</v>
      </c>
      <c r="G742" s="1" t="str">
        <f>LEFT(الصنف[[#This Row],[تصنيف فرعي (2)]],4)</f>
        <v>9103</v>
      </c>
      <c r="H742" s="5" t="s">
        <v>1045</v>
      </c>
      <c r="I742" s="5" t="str">
        <f>LEFT(الصنف[[#This Row],[تصنيف فرعي (1)]],2)</f>
        <v>91</v>
      </c>
      <c r="J742" s="1" t="s">
        <v>903</v>
      </c>
      <c r="K742" s="1">
        <f>VLOOKUP(الصنف[[#This Row],[وحده القياس]],$S$4:$T$67,2,TRUE)</f>
        <v>43</v>
      </c>
      <c r="L742" s="1" t="s">
        <v>742</v>
      </c>
      <c r="M742" s="1">
        <v>1</v>
      </c>
      <c r="N742" s="6" t="s">
        <v>742</v>
      </c>
      <c r="O742" s="7"/>
      <c r="P742" s="9">
        <f>IF(الصنف[[#This Row],[وحده المكونات]]="جرام",1,0)</f>
        <v>0</v>
      </c>
    </row>
    <row r="743" spans="2:16" ht="20.100000000000001" customHeight="1" x14ac:dyDescent="0.2">
      <c r="B743" s="4">
        <v>741</v>
      </c>
      <c r="C743" s="4">
        <v>9103014</v>
      </c>
      <c r="D743" s="2" t="s">
        <v>300</v>
      </c>
      <c r="E743" s="2" t="s">
        <v>300</v>
      </c>
      <c r="G743" s="1" t="str">
        <f>LEFT(الصنف[[#This Row],[تصنيف فرعي (2)]],4)</f>
        <v>9103</v>
      </c>
      <c r="H743" s="5" t="s">
        <v>1045</v>
      </c>
      <c r="I743" s="5" t="str">
        <f>LEFT(الصنف[[#This Row],[تصنيف فرعي (1)]],2)</f>
        <v>91</v>
      </c>
      <c r="J743" s="1" t="s">
        <v>903</v>
      </c>
      <c r="K743" s="1">
        <f>VLOOKUP(الصنف[[#This Row],[وحده القياس]],$S$4:$T$67,2,TRUE)</f>
        <v>43</v>
      </c>
      <c r="L743" s="1" t="s">
        <v>742</v>
      </c>
      <c r="M743" s="1">
        <v>1</v>
      </c>
      <c r="N743" s="6" t="s">
        <v>742</v>
      </c>
      <c r="O743" s="7"/>
      <c r="P743" s="9">
        <f>IF(الصنف[[#This Row],[وحده المكونات]]="جرام",1,0)</f>
        <v>0</v>
      </c>
    </row>
  </sheetData>
  <phoneticPr fontId="10" type="noConversion"/>
  <dataValidations count="1">
    <dataValidation errorStyle="information" allowBlank="1" showInputMessage="1" showErrorMessage="1" sqref="M3:M743"/>
  </dataValidations>
  <printOptions horizontalCentered="1"/>
  <pageMargins left="0.19685039370078741" right="0.19685039370078741" top="0.19685039370078741" bottom="0.19685039370078741" header="9.8425196850393706E-2" footer="9.8425196850393706E-2"/>
  <pageSetup paperSize="9" scale="60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showInputMessage="1" showErrorMessage="1">
          <x14:formula1>
            <xm:f>'وحده القياس'!$D$3:$D$73</xm:f>
          </x14:formula1>
          <xm:sqref>N3:N743</xm:sqref>
        </x14:dataValidation>
        <x14:dataValidation type="list" errorStyle="information" showInputMessage="1" showErrorMessage="1">
          <x14:formula1>
            <xm:f>'وحده القياس'!$B$3:$B$73</xm:f>
          </x14:formula1>
          <xm:sqref>L3:L743</xm:sqref>
        </x14:dataValidation>
        <x14:dataValidation type="list" errorStyle="information" showInputMessage="1" showErrorMessage="1">
          <x14:formula1>
            <xm:f>'تصنيف فرعي'!$F$3:$F$71</xm:f>
          </x14:formula1>
          <xm:sqref>H3:I743</xm:sqref>
        </x14:dataValidation>
        <x14:dataValidation type="list" errorStyle="information" showInputMessage="1" showErrorMessage="1">
          <x14:formula1>
            <xm:f>'تصنيف فرعي'!$D$3:$D$26</xm:f>
          </x14:formula1>
          <xm:sqref>J3:K743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I787"/>
  <sheetViews>
    <sheetView showGridLines="0" zoomScale="90" zoomScaleNormal="90" workbookViewId="0">
      <selection activeCell="H7" sqref="H7"/>
    </sheetView>
  </sheetViews>
  <sheetFormatPr defaultColWidth="8.85546875" defaultRowHeight="20.100000000000001" customHeight="1" x14ac:dyDescent="0.2"/>
  <cols>
    <col min="1" max="1" width="5.7109375" style="1" customWidth="1"/>
    <col min="2" max="2" width="25.7109375" style="1" customWidth="1"/>
    <col min="3" max="3" width="5.7109375" style="1" customWidth="1"/>
    <col min="4" max="4" width="25.7109375" style="1" customWidth="1"/>
    <col min="5" max="5" width="5.7109375" style="1" customWidth="1"/>
    <col min="6" max="6" width="25.7109375" style="1" customWidth="1"/>
    <col min="7" max="16384" width="8.85546875" style="1"/>
  </cols>
  <sheetData>
    <row r="1" spans="2:9" ht="11.25" customHeight="1" x14ac:dyDescent="0.2"/>
    <row r="2" spans="2:9" s="4" customFormat="1" ht="30" customHeight="1" x14ac:dyDescent="0.2">
      <c r="B2" s="3" t="s">
        <v>981</v>
      </c>
      <c r="D2" s="3" t="s">
        <v>841</v>
      </c>
      <c r="F2" s="3" t="s">
        <v>840</v>
      </c>
    </row>
    <row r="3" spans="2:9" ht="20.100000000000001" customHeight="1" x14ac:dyDescent="0.2">
      <c r="B3" s="8" t="s">
        <v>1062</v>
      </c>
      <c r="D3" s="8" t="s">
        <v>672</v>
      </c>
      <c r="F3" s="5" t="s">
        <v>982</v>
      </c>
    </row>
    <row r="4" spans="2:9" ht="20.100000000000001" customHeight="1" x14ac:dyDescent="0.2">
      <c r="B4" s="8" t="s">
        <v>1063</v>
      </c>
      <c r="D4" s="8" t="s">
        <v>663</v>
      </c>
      <c r="F4" s="5" t="s">
        <v>983</v>
      </c>
      <c r="I4" s="1" t="str">
        <f>LEFT(تصنيف_فرعي_2[[#This Row],[تصنيف فرعي (2)]],4)</f>
        <v>1102</v>
      </c>
    </row>
    <row r="5" spans="2:9" ht="20.100000000000001" customHeight="1" x14ac:dyDescent="0.2">
      <c r="B5" s="8" t="s">
        <v>1064</v>
      </c>
      <c r="D5" s="8" t="s">
        <v>664</v>
      </c>
      <c r="F5" s="5" t="s">
        <v>984</v>
      </c>
      <c r="I5" s="1" t="str">
        <f>LEFT(تصنيف_فرعي_2[[#This Row],[تصنيف فرعي (2)]],4)</f>
        <v>1104</v>
      </c>
    </row>
    <row r="6" spans="2:9" ht="20.100000000000001" customHeight="1" x14ac:dyDescent="0.2">
      <c r="B6" s="8" t="s">
        <v>1065</v>
      </c>
      <c r="D6" s="8" t="s">
        <v>847</v>
      </c>
      <c r="F6" s="5" t="s">
        <v>985</v>
      </c>
      <c r="I6" s="1" t="str">
        <f>LEFT(تصنيف_فرعي_2[[#This Row],[تصنيف فرعي (2)]],4)</f>
        <v>1104</v>
      </c>
    </row>
    <row r="7" spans="2:9" ht="20.100000000000001" customHeight="1" x14ac:dyDescent="0.2">
      <c r="B7" s="8" t="s">
        <v>1066</v>
      </c>
      <c r="D7" s="8" t="s">
        <v>669</v>
      </c>
      <c r="F7" s="5" t="s">
        <v>986</v>
      </c>
      <c r="I7" s="1" t="str">
        <f>LEFT(تصنيف_فرعي_2[[#This Row],[تصنيف فرعي (2)]],4)</f>
        <v>1201</v>
      </c>
    </row>
    <row r="8" spans="2:9" ht="20.100000000000001" customHeight="1" x14ac:dyDescent="0.2">
      <c r="B8" s="8" t="s">
        <v>1067</v>
      </c>
      <c r="D8" s="8" t="s">
        <v>666</v>
      </c>
      <c r="F8" s="5" t="s">
        <v>987</v>
      </c>
      <c r="I8" s="1" t="str">
        <f>LEFT(تصنيف_فرعي_2[[#This Row],[تصنيف فرعي (2)]],4)</f>
        <v>1202</v>
      </c>
    </row>
    <row r="9" spans="2:9" ht="20.100000000000001" customHeight="1" x14ac:dyDescent="0.2">
      <c r="B9" s="8" t="s">
        <v>1068</v>
      </c>
      <c r="D9" s="8" t="s">
        <v>905</v>
      </c>
      <c r="F9" s="5" t="s">
        <v>988</v>
      </c>
      <c r="I9" s="1" t="str">
        <f>LEFT(تصنيف_فرعي_2[[#This Row],[تصنيف فرعي (2)]],4)</f>
        <v>1203</v>
      </c>
    </row>
    <row r="10" spans="2:9" ht="20.100000000000001" customHeight="1" x14ac:dyDescent="0.2">
      <c r="B10"/>
      <c r="D10" s="8" t="s">
        <v>667</v>
      </c>
      <c r="F10" s="5" t="s">
        <v>989</v>
      </c>
      <c r="I10" s="1" t="str">
        <f>LEFT(تصنيف_فرعي_2[[#This Row],[تصنيف فرعي (2)]],4)</f>
        <v>1204</v>
      </c>
    </row>
    <row r="11" spans="2:9" ht="20.100000000000001" customHeight="1" x14ac:dyDescent="0.2">
      <c r="B11"/>
      <c r="D11" s="8" t="s">
        <v>677</v>
      </c>
      <c r="F11" s="5" t="s">
        <v>990</v>
      </c>
      <c r="I11" s="1" t="str">
        <f>LEFT(تصنيف_فرعي_2[[#This Row],[تصنيف فرعي (2)]],4)</f>
        <v>1301</v>
      </c>
    </row>
    <row r="12" spans="2:9" ht="20.100000000000001" customHeight="1" x14ac:dyDescent="0.2">
      <c r="B12"/>
      <c r="D12" s="8" t="s">
        <v>675</v>
      </c>
      <c r="F12" s="5" t="s">
        <v>991</v>
      </c>
      <c r="I12" s="1" t="str">
        <f>LEFT(تصنيف_فرعي_2[[#This Row],[تصنيف فرعي (2)]],4)</f>
        <v>1302</v>
      </c>
    </row>
    <row r="13" spans="2:9" ht="20.100000000000001" customHeight="1" x14ac:dyDescent="0.2">
      <c r="B13"/>
      <c r="D13" s="8" t="s">
        <v>673</v>
      </c>
      <c r="F13" s="5" t="s">
        <v>992</v>
      </c>
      <c r="I13" s="1" t="str">
        <f>LEFT(تصنيف_فرعي_2[[#This Row],[تصنيف فرعي (2)]],4)</f>
        <v>1304</v>
      </c>
    </row>
    <row r="14" spans="2:9" ht="20.100000000000001" customHeight="1" x14ac:dyDescent="0.2">
      <c r="B14"/>
      <c r="D14" s="8" t="s">
        <v>676</v>
      </c>
      <c r="F14" s="5" t="s">
        <v>993</v>
      </c>
      <c r="I14" s="1" t="str">
        <f>LEFT(تصنيف_فرعي_2[[#This Row],[تصنيف فرعي (2)]],4)</f>
        <v>1305</v>
      </c>
    </row>
    <row r="15" spans="2:9" ht="20.100000000000001" customHeight="1" x14ac:dyDescent="0.2">
      <c r="B15"/>
      <c r="D15" s="8" t="s">
        <v>665</v>
      </c>
      <c r="F15" s="5" t="s">
        <v>994</v>
      </c>
      <c r="I15" s="1" t="str">
        <f>LEFT(تصنيف_فرعي_2[[#This Row],[تصنيف فرعي (2)]],4)</f>
        <v>1306</v>
      </c>
    </row>
    <row r="16" spans="2:9" ht="20.100000000000001" customHeight="1" x14ac:dyDescent="0.2">
      <c r="B16"/>
      <c r="D16" s="8" t="s">
        <v>662</v>
      </c>
      <c r="F16" s="5" t="s">
        <v>995</v>
      </c>
      <c r="I16" s="1" t="str">
        <f>LEFT(تصنيف_فرعي_2[[#This Row],[تصنيف فرعي (2)]],4)</f>
        <v>1307</v>
      </c>
    </row>
    <row r="17" spans="2:9" ht="20.100000000000001" customHeight="1" x14ac:dyDescent="0.2">
      <c r="B17"/>
      <c r="D17" s="8" t="s">
        <v>901</v>
      </c>
      <c r="F17" s="5" t="s">
        <v>996</v>
      </c>
      <c r="I17" s="1" t="str">
        <f>LEFT(تصنيف_فرعي_2[[#This Row],[تصنيف فرعي (2)]],4)</f>
        <v>1308</v>
      </c>
    </row>
    <row r="18" spans="2:9" ht="20.100000000000001" customHeight="1" x14ac:dyDescent="0.2">
      <c r="B18"/>
      <c r="D18" s="8" t="s">
        <v>650</v>
      </c>
      <c r="F18" s="5" t="s">
        <v>997</v>
      </c>
      <c r="I18" s="1" t="str">
        <f>LEFT(تصنيف_فرعي_2[[#This Row],[تصنيف فرعي (2)]],4)</f>
        <v>1309</v>
      </c>
    </row>
    <row r="19" spans="2:9" ht="20.100000000000001" customHeight="1" x14ac:dyDescent="0.2">
      <c r="B19"/>
      <c r="D19" s="8" t="s">
        <v>668</v>
      </c>
      <c r="F19" s="5" t="s">
        <v>998</v>
      </c>
      <c r="I19" s="1" t="str">
        <f>LEFT(تصنيف_فرعي_2[[#This Row],[تصنيف فرعي (2)]],4)</f>
        <v>1310</v>
      </c>
    </row>
    <row r="20" spans="2:9" ht="20.100000000000001" customHeight="1" x14ac:dyDescent="0.2">
      <c r="B20"/>
      <c r="D20" s="8" t="s">
        <v>674</v>
      </c>
      <c r="F20" s="5" t="s">
        <v>999</v>
      </c>
      <c r="I20" s="1" t="str">
        <f>LEFT(تصنيف_فرعي_2[[#This Row],[تصنيف فرعي (2)]],4)</f>
        <v>1311</v>
      </c>
    </row>
    <row r="21" spans="2:9" ht="20.100000000000001" customHeight="1" x14ac:dyDescent="0.2">
      <c r="B21"/>
      <c r="D21" s="8" t="s">
        <v>902</v>
      </c>
      <c r="F21" s="5" t="s">
        <v>1000</v>
      </c>
      <c r="I21" s="1" t="str">
        <f>LEFT(تصنيف_فرعي_2[[#This Row],[تصنيف فرعي (2)]],4)</f>
        <v>1312</v>
      </c>
    </row>
    <row r="22" spans="2:9" ht="20.100000000000001" customHeight="1" x14ac:dyDescent="0.2">
      <c r="B22"/>
      <c r="D22" s="8" t="s">
        <v>670</v>
      </c>
      <c r="F22" s="5" t="s">
        <v>1001</v>
      </c>
      <c r="I22" s="1" t="str">
        <f>LEFT(تصنيف_فرعي_2[[#This Row],[تصنيف فرعي (2)]],4)</f>
        <v>1313</v>
      </c>
    </row>
    <row r="23" spans="2:9" ht="20.100000000000001" customHeight="1" x14ac:dyDescent="0.2">
      <c r="B23"/>
      <c r="D23" s="8" t="s">
        <v>671</v>
      </c>
      <c r="F23" s="5" t="s">
        <v>1002</v>
      </c>
      <c r="I23" s="1" t="str">
        <f>LEFT(تصنيف_فرعي_2[[#This Row],[تصنيف فرعي (2)]],4)</f>
        <v>1314</v>
      </c>
    </row>
    <row r="24" spans="2:9" ht="20.100000000000001" customHeight="1" x14ac:dyDescent="0.2">
      <c r="B24"/>
      <c r="D24" s="8" t="s">
        <v>696</v>
      </c>
      <c r="F24" s="5" t="s">
        <v>1003</v>
      </c>
      <c r="I24" s="1" t="str">
        <f>LEFT(تصنيف_فرعي_2[[#This Row],[تصنيف فرعي (2)]],4)</f>
        <v>1315</v>
      </c>
    </row>
    <row r="25" spans="2:9" ht="20.100000000000001" customHeight="1" x14ac:dyDescent="0.2">
      <c r="B25"/>
      <c r="D25" s="8" t="s">
        <v>903</v>
      </c>
      <c r="F25" s="5" t="s">
        <v>1004</v>
      </c>
      <c r="I25" s="1" t="str">
        <f>LEFT(تصنيف_فرعي_2[[#This Row],[تصنيف فرعي (2)]],4)</f>
        <v>1316</v>
      </c>
    </row>
    <row r="26" spans="2:9" ht="20.100000000000001" customHeight="1" x14ac:dyDescent="0.2">
      <c r="B26"/>
      <c r="D26"/>
      <c r="F26" s="5" t="s">
        <v>1005</v>
      </c>
      <c r="I26" s="1" t="str">
        <f>LEFT(تصنيف_فرعي_2[[#This Row],[تصنيف فرعي (2)]],4)</f>
        <v>1401</v>
      </c>
    </row>
    <row r="27" spans="2:9" ht="20.100000000000001" customHeight="1" x14ac:dyDescent="0.2">
      <c r="B27"/>
      <c r="D27"/>
      <c r="F27" s="5" t="s">
        <v>1006</v>
      </c>
      <c r="I27" s="1" t="str">
        <f>LEFT(تصنيف_فرعي_2[[#This Row],[تصنيف فرعي (2)]],4)</f>
        <v>1402</v>
      </c>
    </row>
    <row r="28" spans="2:9" ht="20.100000000000001" customHeight="1" x14ac:dyDescent="0.2">
      <c r="B28"/>
      <c r="D28"/>
      <c r="F28" s="5" t="s">
        <v>1007</v>
      </c>
      <c r="I28" s="1" t="str">
        <f>LEFT(تصنيف_فرعي_2[[#This Row],[تصنيف فرعي (2)]],4)</f>
        <v>1403</v>
      </c>
    </row>
    <row r="29" spans="2:9" ht="20.100000000000001" customHeight="1" x14ac:dyDescent="0.2">
      <c r="B29"/>
      <c r="D29"/>
      <c r="F29" s="5" t="s">
        <v>1008</v>
      </c>
      <c r="I29" s="1" t="str">
        <f>LEFT(تصنيف_فرعي_2[[#This Row],[تصنيف فرعي (2)]],4)</f>
        <v>1501</v>
      </c>
    </row>
    <row r="30" spans="2:9" ht="20.100000000000001" customHeight="1" x14ac:dyDescent="0.2">
      <c r="B30"/>
      <c r="D30"/>
      <c r="F30" s="5" t="s">
        <v>1009</v>
      </c>
      <c r="I30" s="1" t="str">
        <f>LEFT(تصنيف_فرعي_2[[#This Row],[تصنيف فرعي (2)]],4)</f>
        <v>1502</v>
      </c>
    </row>
    <row r="31" spans="2:9" ht="20.100000000000001" customHeight="1" x14ac:dyDescent="0.2">
      <c r="B31"/>
      <c r="D31"/>
      <c r="F31" s="5" t="s">
        <v>1010</v>
      </c>
      <c r="I31" s="1" t="str">
        <f>LEFT(تصنيف_فرعي_2[[#This Row],[تصنيف فرعي (2)]],4)</f>
        <v>1601</v>
      </c>
    </row>
    <row r="32" spans="2:9" ht="20.100000000000001" customHeight="1" x14ac:dyDescent="0.2">
      <c r="B32"/>
      <c r="D32"/>
      <c r="F32" s="5" t="s">
        <v>1011</v>
      </c>
      <c r="I32" s="1" t="str">
        <f>LEFT(تصنيف_فرعي_2[[#This Row],[تصنيف فرعي (2)]],4)</f>
        <v>1602</v>
      </c>
    </row>
    <row r="33" spans="2:9" ht="20.100000000000001" customHeight="1" x14ac:dyDescent="0.2">
      <c r="B33"/>
      <c r="D33"/>
      <c r="F33" s="5" t="s">
        <v>1012</v>
      </c>
      <c r="I33" s="1" t="str">
        <f>LEFT(تصنيف_فرعي_2[[#This Row],[تصنيف فرعي (2)]],4)</f>
        <v>1603</v>
      </c>
    </row>
    <row r="34" spans="2:9" ht="20.100000000000001" customHeight="1" x14ac:dyDescent="0.2">
      <c r="B34"/>
      <c r="D34"/>
      <c r="F34" s="5" t="s">
        <v>1013</v>
      </c>
      <c r="I34" s="1" t="str">
        <f>LEFT(تصنيف_فرعي_2[[#This Row],[تصنيف فرعي (2)]],4)</f>
        <v>1701</v>
      </c>
    </row>
    <row r="35" spans="2:9" ht="20.100000000000001" customHeight="1" x14ac:dyDescent="0.2">
      <c r="B35"/>
      <c r="D35"/>
      <c r="F35" s="5" t="s">
        <v>1014</v>
      </c>
      <c r="I35" s="1" t="str">
        <f>LEFT(تصنيف_فرعي_2[[#This Row],[تصنيف فرعي (2)]],4)</f>
        <v>1702</v>
      </c>
    </row>
    <row r="36" spans="2:9" ht="20.100000000000001" customHeight="1" x14ac:dyDescent="0.2">
      <c r="B36"/>
      <c r="D36"/>
      <c r="F36" s="5" t="s">
        <v>1015</v>
      </c>
      <c r="I36" s="1" t="str">
        <f>LEFT(تصنيف_فرعي_2[[#This Row],[تصنيف فرعي (2)]],4)</f>
        <v>1703</v>
      </c>
    </row>
    <row r="37" spans="2:9" ht="20.100000000000001" customHeight="1" x14ac:dyDescent="0.2">
      <c r="B37"/>
      <c r="D37"/>
      <c r="F37" s="5" t="s">
        <v>1016</v>
      </c>
      <c r="I37" s="1" t="str">
        <f>LEFT(تصنيف_فرعي_2[[#This Row],[تصنيف فرعي (2)]],4)</f>
        <v>1704</v>
      </c>
    </row>
    <row r="38" spans="2:9" ht="20.100000000000001" customHeight="1" x14ac:dyDescent="0.2">
      <c r="B38"/>
      <c r="D38"/>
      <c r="F38" s="5" t="s">
        <v>1017</v>
      </c>
      <c r="I38" s="1" t="str">
        <f>LEFT(تصنيف_فرعي_2[[#This Row],[تصنيف فرعي (2)]],4)</f>
        <v>1705</v>
      </c>
    </row>
    <row r="39" spans="2:9" ht="20.100000000000001" customHeight="1" x14ac:dyDescent="0.2">
      <c r="B39"/>
      <c r="D39"/>
      <c r="F39" s="5" t="s">
        <v>1018</v>
      </c>
      <c r="I39" s="1" t="str">
        <f>LEFT(تصنيف_فرعي_2[[#This Row],[تصنيف فرعي (2)]],4)</f>
        <v>1801</v>
      </c>
    </row>
    <row r="40" spans="2:9" ht="20.100000000000001" customHeight="1" x14ac:dyDescent="0.2">
      <c r="B40"/>
      <c r="D40"/>
      <c r="F40" s="5" t="s">
        <v>1019</v>
      </c>
      <c r="I40" s="1" t="str">
        <f>LEFT(تصنيف_فرعي_2[[#This Row],[تصنيف فرعي (2)]],4)</f>
        <v>1802</v>
      </c>
    </row>
    <row r="41" spans="2:9" ht="20.100000000000001" customHeight="1" x14ac:dyDescent="0.2">
      <c r="B41"/>
      <c r="D41"/>
      <c r="F41" s="5" t="s">
        <v>1020</v>
      </c>
      <c r="I41" s="1" t="str">
        <f>LEFT(تصنيف_فرعي_2[[#This Row],[تصنيف فرعي (2)]],4)</f>
        <v>1901</v>
      </c>
    </row>
    <row r="42" spans="2:9" ht="20.100000000000001" customHeight="1" x14ac:dyDescent="0.2">
      <c r="B42"/>
      <c r="D42"/>
      <c r="F42" s="5" t="s">
        <v>1021</v>
      </c>
      <c r="I42" s="1" t="str">
        <f>LEFT(تصنيف_فرعي_2[[#This Row],[تصنيف فرعي (2)]],4)</f>
        <v>1902</v>
      </c>
    </row>
    <row r="43" spans="2:9" ht="20.100000000000001" customHeight="1" x14ac:dyDescent="0.2">
      <c r="B43"/>
      <c r="D43"/>
      <c r="F43" s="5" t="s">
        <v>1022</v>
      </c>
      <c r="I43" s="1" t="str">
        <f>LEFT(تصنيف_فرعي_2[[#This Row],[تصنيف فرعي (2)]],4)</f>
        <v>2101</v>
      </c>
    </row>
    <row r="44" spans="2:9" ht="20.100000000000001" customHeight="1" x14ac:dyDescent="0.2">
      <c r="B44"/>
      <c r="D44"/>
      <c r="F44" s="5" t="s">
        <v>1023</v>
      </c>
      <c r="I44" s="1" t="str">
        <f>LEFT(تصنيف_فرعي_2[[#This Row],[تصنيف فرعي (2)]],4)</f>
        <v>2102</v>
      </c>
    </row>
    <row r="45" spans="2:9" ht="20.100000000000001" customHeight="1" x14ac:dyDescent="0.2">
      <c r="B45"/>
      <c r="D45"/>
      <c r="F45" s="5" t="s">
        <v>1024</v>
      </c>
      <c r="I45" s="1" t="str">
        <f>LEFT(تصنيف_فرعي_2[[#This Row],[تصنيف فرعي (2)]],4)</f>
        <v>2103</v>
      </c>
    </row>
    <row r="46" spans="2:9" ht="20.100000000000001" customHeight="1" x14ac:dyDescent="0.2">
      <c r="B46"/>
      <c r="D46"/>
      <c r="F46" s="5" t="s">
        <v>1025</v>
      </c>
      <c r="I46" s="1" t="str">
        <f>LEFT(تصنيف_فرعي_2[[#This Row],[تصنيف فرعي (2)]],4)</f>
        <v>3101</v>
      </c>
    </row>
    <row r="47" spans="2:9" ht="20.100000000000001" customHeight="1" x14ac:dyDescent="0.2">
      <c r="B47"/>
      <c r="D47"/>
      <c r="F47" s="5" t="s">
        <v>1026</v>
      </c>
      <c r="I47" s="1" t="str">
        <f>LEFT(تصنيف_فرعي_2[[#This Row],[تصنيف فرعي (2)]],4)</f>
        <v>3201</v>
      </c>
    </row>
    <row r="48" spans="2:9" ht="20.100000000000001" customHeight="1" x14ac:dyDescent="0.2">
      <c r="B48"/>
      <c r="D48"/>
      <c r="F48" s="5" t="s">
        <v>1027</v>
      </c>
      <c r="I48" s="1" t="str">
        <f>LEFT(تصنيف_فرعي_2[[#This Row],[تصنيف فرعي (2)]],4)</f>
        <v>3202</v>
      </c>
    </row>
    <row r="49" spans="2:9" ht="20.100000000000001" customHeight="1" x14ac:dyDescent="0.2">
      <c r="B49"/>
      <c r="D49"/>
      <c r="F49" s="5" t="s">
        <v>1028</v>
      </c>
      <c r="I49" s="1" t="str">
        <f>LEFT(تصنيف_فرعي_2[[#This Row],[تصنيف فرعي (2)]],4)</f>
        <v>3301</v>
      </c>
    </row>
    <row r="50" spans="2:9" ht="20.100000000000001" customHeight="1" x14ac:dyDescent="0.2">
      <c r="B50"/>
      <c r="D50"/>
      <c r="F50" s="5" t="s">
        <v>1029</v>
      </c>
      <c r="I50" s="1" t="str">
        <f>LEFT(تصنيف_فرعي_2[[#This Row],[تصنيف فرعي (2)]],4)</f>
        <v>3401</v>
      </c>
    </row>
    <row r="51" spans="2:9" ht="20.100000000000001" customHeight="1" x14ac:dyDescent="0.2">
      <c r="B51"/>
      <c r="D51"/>
      <c r="F51" s="5" t="s">
        <v>1031</v>
      </c>
      <c r="I51" s="1" t="str">
        <f>LEFT(تصنيف_فرعي_2[[#This Row],[تصنيف فرعي (2)]],4)</f>
        <v>3402</v>
      </c>
    </row>
    <row r="52" spans="2:9" ht="20.100000000000001" customHeight="1" x14ac:dyDescent="0.2">
      <c r="B52"/>
      <c r="D52"/>
      <c r="F52" s="5" t="s">
        <v>1030</v>
      </c>
      <c r="I52" s="1" t="str">
        <f>LEFT(تصنيف_فرعي_2[[#This Row],[تصنيف فرعي (2)]],4)</f>
        <v>3403</v>
      </c>
    </row>
    <row r="53" spans="2:9" ht="20.100000000000001" customHeight="1" x14ac:dyDescent="0.2">
      <c r="B53"/>
      <c r="D53"/>
      <c r="F53" s="5" t="s">
        <v>1032</v>
      </c>
      <c r="I53" s="1" t="str">
        <f>LEFT(تصنيف_فرعي_2[[#This Row],[تصنيف فرعي (2)]],4)</f>
        <v>3501</v>
      </c>
    </row>
    <row r="54" spans="2:9" ht="20.100000000000001" customHeight="1" x14ac:dyDescent="0.2">
      <c r="B54"/>
      <c r="D54"/>
      <c r="F54" s="5" t="s">
        <v>1033</v>
      </c>
      <c r="I54" s="1" t="str">
        <f>LEFT(تصنيف_فرعي_2[[#This Row],[تصنيف فرعي (2)]],4)</f>
        <v>3502</v>
      </c>
    </row>
    <row r="55" spans="2:9" ht="20.100000000000001" customHeight="1" x14ac:dyDescent="0.2">
      <c r="B55"/>
      <c r="D55"/>
      <c r="F55" s="5" t="s">
        <v>1034</v>
      </c>
      <c r="I55" s="1" t="str">
        <f>LEFT(تصنيف_فرعي_2[[#This Row],[تصنيف فرعي (2)]],4)</f>
        <v>3601</v>
      </c>
    </row>
    <row r="56" spans="2:9" ht="20.100000000000001" customHeight="1" x14ac:dyDescent="0.2">
      <c r="B56"/>
      <c r="D56"/>
      <c r="F56" s="5" t="s">
        <v>1035</v>
      </c>
      <c r="I56" s="1" t="str">
        <f>LEFT(تصنيف_فرعي_2[[#This Row],[تصنيف فرعي (2)]],4)</f>
        <v>3701</v>
      </c>
    </row>
    <row r="57" spans="2:9" ht="20.100000000000001" customHeight="1" x14ac:dyDescent="0.2">
      <c r="B57"/>
      <c r="D57"/>
      <c r="F57" s="5" t="s">
        <v>1036</v>
      </c>
      <c r="I57" s="1" t="str">
        <f>LEFT(تصنيف_فرعي_2[[#This Row],[تصنيف فرعي (2)]],4)</f>
        <v>3801</v>
      </c>
    </row>
    <row r="58" spans="2:9" ht="20.100000000000001" customHeight="1" x14ac:dyDescent="0.2">
      <c r="B58"/>
      <c r="D58"/>
      <c r="F58" s="5" t="s">
        <v>1037</v>
      </c>
      <c r="I58" s="1" t="str">
        <f>LEFT(تصنيف_فرعي_2[[#This Row],[تصنيف فرعي (2)]],4)</f>
        <v>3802</v>
      </c>
    </row>
    <row r="59" spans="2:9" ht="20.100000000000001" customHeight="1" x14ac:dyDescent="0.2">
      <c r="B59"/>
      <c r="D59"/>
      <c r="F59" s="5" t="s">
        <v>1038</v>
      </c>
      <c r="I59" s="1" t="str">
        <f>LEFT(تصنيف_فرعي_2[[#This Row],[تصنيف فرعي (2)]],4)</f>
        <v>4101</v>
      </c>
    </row>
    <row r="60" spans="2:9" ht="20.100000000000001" customHeight="1" x14ac:dyDescent="0.2">
      <c r="B60"/>
      <c r="D60"/>
      <c r="F60" s="5" t="s">
        <v>1039</v>
      </c>
      <c r="I60" s="1" t="str">
        <f>LEFT(تصنيف_فرعي_2[[#This Row],[تصنيف فرعي (2)]],4)</f>
        <v>4102</v>
      </c>
    </row>
    <row r="61" spans="2:9" ht="20.100000000000001" customHeight="1" x14ac:dyDescent="0.2">
      <c r="B61"/>
      <c r="D61"/>
      <c r="F61" s="5" t="s">
        <v>1040</v>
      </c>
      <c r="I61" s="1" t="str">
        <f>LEFT(تصنيف_فرعي_2[[#This Row],[تصنيف فرعي (2)]],4)</f>
        <v>4103</v>
      </c>
    </row>
    <row r="62" spans="2:9" ht="20.100000000000001" customHeight="1" x14ac:dyDescent="0.2">
      <c r="B62"/>
      <c r="D62"/>
      <c r="F62" s="5" t="s">
        <v>1041</v>
      </c>
      <c r="I62" s="1" t="str">
        <f>LEFT(تصنيف_فرعي_2[[#This Row],[تصنيف فرعي (2)]],4)</f>
        <v>5301</v>
      </c>
    </row>
    <row r="63" spans="2:9" ht="20.100000000000001" customHeight="1" x14ac:dyDescent="0.2">
      <c r="B63"/>
      <c r="D63"/>
      <c r="F63" s="5" t="s">
        <v>1042</v>
      </c>
      <c r="I63" s="1" t="str">
        <f>LEFT(تصنيف_فرعي_2[[#This Row],[تصنيف فرعي (2)]],4)</f>
        <v>5401</v>
      </c>
    </row>
    <row r="64" spans="2:9" ht="20.100000000000001" customHeight="1" x14ac:dyDescent="0.2">
      <c r="B64"/>
      <c r="D64"/>
      <c r="F64" s="5" t="s">
        <v>1043</v>
      </c>
      <c r="I64" s="1" t="str">
        <f>LEFT(تصنيف_فرعي_2[[#This Row],[تصنيف فرعي (2)]],4)</f>
        <v>8101</v>
      </c>
    </row>
    <row r="65" spans="2:9" ht="20.100000000000001" customHeight="1" x14ac:dyDescent="0.2">
      <c r="B65"/>
      <c r="D65"/>
      <c r="F65" s="5" t="s">
        <v>1044</v>
      </c>
      <c r="I65" s="1" t="str">
        <f>LEFT(تصنيف_فرعي_2[[#This Row],[تصنيف فرعي (2)]],4)</f>
        <v>9101</v>
      </c>
    </row>
    <row r="66" spans="2:9" ht="20.100000000000001" customHeight="1" x14ac:dyDescent="0.2">
      <c r="B66"/>
      <c r="D66"/>
      <c r="F66" s="5" t="s">
        <v>1046</v>
      </c>
      <c r="I66" s="1" t="str">
        <f>LEFT(تصنيف_فرعي_2[[#This Row],[تصنيف فرعي (2)]],4)</f>
        <v>9102</v>
      </c>
    </row>
    <row r="67" spans="2:9" ht="20.100000000000001" customHeight="1" x14ac:dyDescent="0.2">
      <c r="B67"/>
      <c r="D67"/>
      <c r="F67" s="5" t="s">
        <v>1045</v>
      </c>
      <c r="I67" s="1" t="str">
        <f>LEFT(تصنيف_فرعي_2[[#This Row],[تصنيف فرعي (2)]],4)</f>
        <v>9103</v>
      </c>
    </row>
    <row r="68" spans="2:9" ht="20.100000000000001" customHeight="1" x14ac:dyDescent="0.2">
      <c r="B68"/>
      <c r="D68"/>
      <c r="F68"/>
    </row>
    <row r="69" spans="2:9" ht="20.100000000000001" customHeight="1" x14ac:dyDescent="0.2">
      <c r="B69"/>
      <c r="D69"/>
      <c r="F69"/>
    </row>
    <row r="70" spans="2:9" ht="20.100000000000001" customHeight="1" x14ac:dyDescent="0.2">
      <c r="B70"/>
      <c r="D70"/>
      <c r="F70"/>
    </row>
    <row r="71" spans="2:9" ht="20.100000000000001" customHeight="1" x14ac:dyDescent="0.2">
      <c r="B71"/>
      <c r="D71"/>
      <c r="F71"/>
    </row>
    <row r="72" spans="2:9" ht="20.100000000000001" customHeight="1" x14ac:dyDescent="0.2">
      <c r="B72"/>
      <c r="D72"/>
      <c r="F72"/>
    </row>
    <row r="73" spans="2:9" ht="20.100000000000001" customHeight="1" x14ac:dyDescent="0.2">
      <c r="B73"/>
      <c r="D73"/>
      <c r="F73"/>
    </row>
    <row r="74" spans="2:9" ht="20.100000000000001" customHeight="1" x14ac:dyDescent="0.2">
      <c r="B74"/>
      <c r="D74"/>
      <c r="F74"/>
    </row>
    <row r="75" spans="2:9" ht="20.100000000000001" customHeight="1" x14ac:dyDescent="0.2">
      <c r="B75"/>
      <c r="D75"/>
      <c r="F75"/>
    </row>
    <row r="76" spans="2:9" ht="20.100000000000001" customHeight="1" x14ac:dyDescent="0.2">
      <c r="B76"/>
      <c r="D76"/>
      <c r="F76"/>
    </row>
    <row r="77" spans="2:9" ht="20.100000000000001" customHeight="1" x14ac:dyDescent="0.2">
      <c r="B77"/>
      <c r="D77"/>
      <c r="F77"/>
    </row>
    <row r="78" spans="2:9" ht="20.100000000000001" customHeight="1" x14ac:dyDescent="0.2">
      <c r="B78"/>
      <c r="D78"/>
      <c r="F78"/>
    </row>
    <row r="79" spans="2:9" ht="20.100000000000001" customHeight="1" x14ac:dyDescent="0.2">
      <c r="B79"/>
      <c r="D79"/>
      <c r="F79"/>
    </row>
    <row r="80" spans="2:9" ht="20.100000000000001" customHeight="1" x14ac:dyDescent="0.2">
      <c r="B80"/>
      <c r="D80"/>
      <c r="F80"/>
    </row>
    <row r="81" spans="2:6" ht="20.100000000000001" customHeight="1" x14ac:dyDescent="0.2">
      <c r="B81"/>
      <c r="D81"/>
      <c r="F81"/>
    </row>
    <row r="82" spans="2:6" ht="20.100000000000001" customHeight="1" x14ac:dyDescent="0.2">
      <c r="B82"/>
      <c r="D82"/>
      <c r="F82"/>
    </row>
    <row r="83" spans="2:6" ht="20.100000000000001" customHeight="1" x14ac:dyDescent="0.2">
      <c r="B83"/>
      <c r="D83"/>
      <c r="F83"/>
    </row>
    <row r="84" spans="2:6" ht="20.100000000000001" customHeight="1" x14ac:dyDescent="0.2">
      <c r="B84"/>
      <c r="D84"/>
      <c r="F84"/>
    </row>
    <row r="85" spans="2:6" ht="20.100000000000001" customHeight="1" x14ac:dyDescent="0.2">
      <c r="B85"/>
      <c r="D85"/>
      <c r="F85"/>
    </row>
    <row r="86" spans="2:6" ht="20.100000000000001" customHeight="1" x14ac:dyDescent="0.2">
      <c r="B86"/>
      <c r="D86"/>
      <c r="F86"/>
    </row>
    <row r="87" spans="2:6" ht="20.100000000000001" customHeight="1" x14ac:dyDescent="0.2">
      <c r="B87"/>
      <c r="D87"/>
      <c r="F87"/>
    </row>
    <row r="88" spans="2:6" ht="20.100000000000001" customHeight="1" x14ac:dyDescent="0.2">
      <c r="B88"/>
      <c r="D88"/>
      <c r="F88"/>
    </row>
    <row r="89" spans="2:6" ht="20.100000000000001" customHeight="1" x14ac:dyDescent="0.2">
      <c r="B89"/>
      <c r="D89"/>
      <c r="F89"/>
    </row>
    <row r="90" spans="2:6" ht="20.100000000000001" customHeight="1" x14ac:dyDescent="0.2">
      <c r="B90"/>
      <c r="D90"/>
      <c r="F90"/>
    </row>
    <row r="91" spans="2:6" ht="20.100000000000001" customHeight="1" x14ac:dyDescent="0.2">
      <c r="B91"/>
      <c r="D91"/>
      <c r="F91"/>
    </row>
    <row r="92" spans="2:6" ht="20.100000000000001" customHeight="1" x14ac:dyDescent="0.2">
      <c r="B92"/>
      <c r="D92"/>
      <c r="F92"/>
    </row>
    <row r="93" spans="2:6" ht="20.100000000000001" customHeight="1" x14ac:dyDescent="0.2">
      <c r="B93"/>
      <c r="D93"/>
      <c r="F93"/>
    </row>
    <row r="94" spans="2:6" ht="20.100000000000001" customHeight="1" x14ac:dyDescent="0.2">
      <c r="B94"/>
      <c r="D94"/>
      <c r="F94"/>
    </row>
    <row r="95" spans="2:6" ht="20.100000000000001" customHeight="1" x14ac:dyDescent="0.2">
      <c r="B95"/>
      <c r="D95"/>
      <c r="F95"/>
    </row>
    <row r="96" spans="2:6" ht="20.100000000000001" customHeight="1" x14ac:dyDescent="0.2">
      <c r="B96"/>
      <c r="D96"/>
      <c r="F96"/>
    </row>
    <row r="97" spans="2:6" ht="20.100000000000001" customHeight="1" x14ac:dyDescent="0.2">
      <c r="B97"/>
      <c r="D97"/>
      <c r="F97"/>
    </row>
    <row r="98" spans="2:6" ht="20.100000000000001" customHeight="1" x14ac:dyDescent="0.2">
      <c r="B98"/>
      <c r="D98"/>
      <c r="F98"/>
    </row>
    <row r="99" spans="2:6" ht="20.100000000000001" customHeight="1" x14ac:dyDescent="0.2">
      <c r="B99"/>
      <c r="D99"/>
      <c r="F99"/>
    </row>
    <row r="100" spans="2:6" ht="20.100000000000001" customHeight="1" x14ac:dyDescent="0.2">
      <c r="B100"/>
      <c r="D100"/>
      <c r="F100"/>
    </row>
    <row r="101" spans="2:6" ht="20.100000000000001" customHeight="1" x14ac:dyDescent="0.2">
      <c r="B101"/>
      <c r="D101"/>
      <c r="F101"/>
    </row>
    <row r="102" spans="2:6" ht="20.100000000000001" customHeight="1" x14ac:dyDescent="0.2">
      <c r="B102"/>
      <c r="D102"/>
      <c r="F102"/>
    </row>
    <row r="103" spans="2:6" ht="20.100000000000001" customHeight="1" x14ac:dyDescent="0.2">
      <c r="B103"/>
      <c r="D103"/>
      <c r="F103"/>
    </row>
    <row r="104" spans="2:6" ht="20.100000000000001" customHeight="1" x14ac:dyDescent="0.2">
      <c r="B104"/>
      <c r="D104"/>
      <c r="F104"/>
    </row>
    <row r="105" spans="2:6" ht="20.100000000000001" customHeight="1" x14ac:dyDescent="0.2">
      <c r="B105"/>
      <c r="D105"/>
      <c r="F105"/>
    </row>
    <row r="106" spans="2:6" ht="20.100000000000001" customHeight="1" x14ac:dyDescent="0.2">
      <c r="B106"/>
      <c r="D106"/>
      <c r="F106"/>
    </row>
    <row r="107" spans="2:6" ht="20.100000000000001" customHeight="1" x14ac:dyDescent="0.2">
      <c r="B107"/>
      <c r="D107"/>
      <c r="F107"/>
    </row>
    <row r="108" spans="2:6" ht="20.100000000000001" customHeight="1" x14ac:dyDescent="0.2">
      <c r="B108"/>
      <c r="D108"/>
      <c r="F108"/>
    </row>
    <row r="109" spans="2:6" ht="20.100000000000001" customHeight="1" x14ac:dyDescent="0.2">
      <c r="B109"/>
      <c r="D109"/>
      <c r="F109"/>
    </row>
    <row r="110" spans="2:6" ht="20.100000000000001" customHeight="1" x14ac:dyDescent="0.2">
      <c r="B110"/>
      <c r="D110"/>
      <c r="F110"/>
    </row>
    <row r="111" spans="2:6" ht="20.100000000000001" customHeight="1" x14ac:dyDescent="0.2">
      <c r="B111"/>
      <c r="D111"/>
      <c r="F111"/>
    </row>
    <row r="112" spans="2:6" ht="20.100000000000001" customHeight="1" x14ac:dyDescent="0.2">
      <c r="B112"/>
      <c r="D112"/>
      <c r="F112"/>
    </row>
    <row r="113" spans="2:6" ht="20.100000000000001" customHeight="1" x14ac:dyDescent="0.2">
      <c r="B113"/>
      <c r="D113"/>
      <c r="F113"/>
    </row>
    <row r="114" spans="2:6" ht="20.100000000000001" customHeight="1" x14ac:dyDescent="0.2">
      <c r="B114"/>
      <c r="D114"/>
      <c r="F114"/>
    </row>
    <row r="115" spans="2:6" ht="20.100000000000001" customHeight="1" x14ac:dyDescent="0.2">
      <c r="B115"/>
      <c r="D115"/>
      <c r="F115"/>
    </row>
    <row r="116" spans="2:6" ht="20.100000000000001" customHeight="1" x14ac:dyDescent="0.2">
      <c r="B116"/>
      <c r="D116"/>
      <c r="F116"/>
    </row>
    <row r="117" spans="2:6" ht="20.100000000000001" customHeight="1" x14ac:dyDescent="0.2">
      <c r="B117"/>
      <c r="D117"/>
      <c r="F117"/>
    </row>
    <row r="118" spans="2:6" ht="20.100000000000001" customHeight="1" x14ac:dyDescent="0.2">
      <c r="B118"/>
      <c r="D118"/>
      <c r="F118"/>
    </row>
    <row r="119" spans="2:6" ht="20.100000000000001" customHeight="1" x14ac:dyDescent="0.2">
      <c r="B119"/>
      <c r="D119"/>
      <c r="F119"/>
    </row>
    <row r="120" spans="2:6" ht="20.100000000000001" customHeight="1" x14ac:dyDescent="0.2">
      <c r="B120"/>
      <c r="D120"/>
      <c r="F120"/>
    </row>
    <row r="121" spans="2:6" ht="20.100000000000001" customHeight="1" x14ac:dyDescent="0.2">
      <c r="B121"/>
      <c r="D121"/>
      <c r="F121"/>
    </row>
    <row r="122" spans="2:6" ht="20.100000000000001" customHeight="1" x14ac:dyDescent="0.2">
      <c r="B122"/>
      <c r="D122"/>
      <c r="F122"/>
    </row>
    <row r="123" spans="2:6" ht="20.100000000000001" customHeight="1" x14ac:dyDescent="0.2">
      <c r="B123"/>
      <c r="D123"/>
      <c r="F123"/>
    </row>
    <row r="124" spans="2:6" ht="20.100000000000001" customHeight="1" x14ac:dyDescent="0.2">
      <c r="B124"/>
      <c r="D124"/>
      <c r="F124"/>
    </row>
    <row r="125" spans="2:6" ht="20.100000000000001" customHeight="1" x14ac:dyDescent="0.2">
      <c r="B125"/>
      <c r="D125"/>
      <c r="F125"/>
    </row>
    <row r="126" spans="2:6" ht="20.100000000000001" customHeight="1" x14ac:dyDescent="0.2">
      <c r="B126"/>
      <c r="D126"/>
      <c r="F126"/>
    </row>
    <row r="127" spans="2:6" ht="20.100000000000001" customHeight="1" x14ac:dyDescent="0.2">
      <c r="B127"/>
      <c r="D127"/>
      <c r="F127"/>
    </row>
    <row r="128" spans="2:6" ht="20.100000000000001" customHeight="1" x14ac:dyDescent="0.2">
      <c r="B128"/>
      <c r="D128"/>
      <c r="F128"/>
    </row>
    <row r="129" spans="2:6" ht="20.100000000000001" customHeight="1" x14ac:dyDescent="0.2">
      <c r="B129"/>
      <c r="D129"/>
      <c r="F129"/>
    </row>
    <row r="130" spans="2:6" ht="20.100000000000001" customHeight="1" x14ac:dyDescent="0.2">
      <c r="B130"/>
      <c r="D130"/>
      <c r="F130"/>
    </row>
    <row r="131" spans="2:6" ht="20.100000000000001" customHeight="1" x14ac:dyDescent="0.2">
      <c r="B131"/>
      <c r="D131"/>
      <c r="F131"/>
    </row>
    <row r="132" spans="2:6" ht="20.100000000000001" customHeight="1" x14ac:dyDescent="0.2">
      <c r="B132"/>
      <c r="D132"/>
      <c r="F132"/>
    </row>
    <row r="133" spans="2:6" ht="20.100000000000001" customHeight="1" x14ac:dyDescent="0.2">
      <c r="B133"/>
      <c r="D133"/>
      <c r="F133"/>
    </row>
    <row r="134" spans="2:6" ht="20.100000000000001" customHeight="1" x14ac:dyDescent="0.2">
      <c r="B134"/>
      <c r="D134"/>
      <c r="F134"/>
    </row>
    <row r="135" spans="2:6" ht="20.100000000000001" customHeight="1" x14ac:dyDescent="0.2">
      <c r="B135"/>
      <c r="D135"/>
      <c r="F135"/>
    </row>
    <row r="136" spans="2:6" ht="20.100000000000001" customHeight="1" x14ac:dyDescent="0.2">
      <c r="B136"/>
      <c r="D136"/>
      <c r="F136"/>
    </row>
    <row r="137" spans="2:6" ht="20.100000000000001" customHeight="1" x14ac:dyDescent="0.2">
      <c r="B137"/>
      <c r="D137"/>
      <c r="F137"/>
    </row>
    <row r="138" spans="2:6" ht="20.100000000000001" customHeight="1" x14ac:dyDescent="0.2">
      <c r="B138"/>
      <c r="D138"/>
      <c r="F138"/>
    </row>
    <row r="139" spans="2:6" ht="20.100000000000001" customHeight="1" x14ac:dyDescent="0.2">
      <c r="B139"/>
      <c r="D139"/>
      <c r="F139"/>
    </row>
    <row r="140" spans="2:6" ht="20.100000000000001" customHeight="1" x14ac:dyDescent="0.2">
      <c r="B140"/>
      <c r="D140"/>
      <c r="F140"/>
    </row>
    <row r="141" spans="2:6" ht="20.100000000000001" customHeight="1" x14ac:dyDescent="0.2">
      <c r="B141"/>
      <c r="D141"/>
      <c r="F141"/>
    </row>
    <row r="142" spans="2:6" ht="20.100000000000001" customHeight="1" x14ac:dyDescent="0.2">
      <c r="B142"/>
      <c r="D142"/>
      <c r="F142"/>
    </row>
    <row r="143" spans="2:6" ht="20.100000000000001" customHeight="1" x14ac:dyDescent="0.2">
      <c r="B143"/>
      <c r="D143"/>
      <c r="F143"/>
    </row>
    <row r="144" spans="2:6" ht="20.100000000000001" customHeight="1" x14ac:dyDescent="0.2">
      <c r="B144"/>
      <c r="D144"/>
      <c r="F144"/>
    </row>
    <row r="145" spans="2:6" ht="20.100000000000001" customHeight="1" x14ac:dyDescent="0.2">
      <c r="B145"/>
      <c r="D145"/>
      <c r="F145"/>
    </row>
    <row r="146" spans="2:6" ht="20.100000000000001" customHeight="1" x14ac:dyDescent="0.2">
      <c r="B146"/>
      <c r="D146"/>
      <c r="F146"/>
    </row>
    <row r="147" spans="2:6" ht="20.100000000000001" customHeight="1" x14ac:dyDescent="0.2">
      <c r="B147"/>
      <c r="D147"/>
      <c r="F147"/>
    </row>
    <row r="148" spans="2:6" ht="20.100000000000001" customHeight="1" x14ac:dyDescent="0.2">
      <c r="B148"/>
      <c r="D148"/>
      <c r="F148"/>
    </row>
    <row r="149" spans="2:6" ht="20.100000000000001" customHeight="1" x14ac:dyDescent="0.2">
      <c r="B149"/>
      <c r="D149"/>
      <c r="F149"/>
    </row>
    <row r="150" spans="2:6" ht="20.100000000000001" customHeight="1" x14ac:dyDescent="0.2">
      <c r="B150"/>
      <c r="D150"/>
      <c r="F150"/>
    </row>
    <row r="151" spans="2:6" ht="20.100000000000001" customHeight="1" x14ac:dyDescent="0.2">
      <c r="B151"/>
      <c r="D151"/>
      <c r="F151"/>
    </row>
    <row r="152" spans="2:6" ht="20.100000000000001" customHeight="1" x14ac:dyDescent="0.2">
      <c r="B152"/>
      <c r="D152"/>
      <c r="F152"/>
    </row>
    <row r="153" spans="2:6" ht="20.100000000000001" customHeight="1" x14ac:dyDescent="0.2">
      <c r="B153"/>
      <c r="D153"/>
      <c r="F153"/>
    </row>
    <row r="154" spans="2:6" ht="20.100000000000001" customHeight="1" x14ac:dyDescent="0.2">
      <c r="B154"/>
      <c r="D154"/>
      <c r="F154"/>
    </row>
    <row r="155" spans="2:6" ht="20.100000000000001" customHeight="1" x14ac:dyDescent="0.2">
      <c r="B155"/>
      <c r="D155"/>
      <c r="F155"/>
    </row>
    <row r="156" spans="2:6" ht="20.100000000000001" customHeight="1" x14ac:dyDescent="0.2">
      <c r="B156"/>
      <c r="D156"/>
      <c r="F156"/>
    </row>
    <row r="157" spans="2:6" ht="20.100000000000001" customHeight="1" x14ac:dyDescent="0.2">
      <c r="B157"/>
      <c r="D157"/>
      <c r="F157"/>
    </row>
    <row r="158" spans="2:6" ht="20.100000000000001" customHeight="1" x14ac:dyDescent="0.2">
      <c r="B158"/>
      <c r="D158"/>
      <c r="F158"/>
    </row>
    <row r="159" spans="2:6" ht="20.100000000000001" customHeight="1" x14ac:dyDescent="0.2">
      <c r="B159"/>
      <c r="D159"/>
      <c r="F159"/>
    </row>
    <row r="160" spans="2:6" ht="20.100000000000001" customHeight="1" x14ac:dyDescent="0.2">
      <c r="B160"/>
      <c r="D160"/>
      <c r="F160"/>
    </row>
    <row r="161" spans="2:6" ht="20.100000000000001" customHeight="1" x14ac:dyDescent="0.2">
      <c r="B161"/>
      <c r="D161"/>
      <c r="F161"/>
    </row>
    <row r="162" spans="2:6" ht="20.100000000000001" customHeight="1" x14ac:dyDescent="0.2">
      <c r="B162"/>
      <c r="D162"/>
      <c r="F162"/>
    </row>
    <row r="163" spans="2:6" ht="20.100000000000001" customHeight="1" x14ac:dyDescent="0.2">
      <c r="B163"/>
      <c r="D163"/>
      <c r="F163"/>
    </row>
    <row r="164" spans="2:6" ht="20.100000000000001" customHeight="1" x14ac:dyDescent="0.2">
      <c r="B164"/>
      <c r="D164"/>
      <c r="F164"/>
    </row>
    <row r="165" spans="2:6" ht="20.100000000000001" customHeight="1" x14ac:dyDescent="0.2">
      <c r="B165"/>
      <c r="D165"/>
      <c r="F165"/>
    </row>
    <row r="166" spans="2:6" ht="20.100000000000001" customHeight="1" x14ac:dyDescent="0.2">
      <c r="B166"/>
      <c r="D166"/>
      <c r="F166"/>
    </row>
    <row r="167" spans="2:6" ht="20.100000000000001" customHeight="1" x14ac:dyDescent="0.2">
      <c r="B167"/>
      <c r="D167"/>
      <c r="F167"/>
    </row>
    <row r="168" spans="2:6" ht="20.100000000000001" customHeight="1" x14ac:dyDescent="0.2">
      <c r="B168"/>
      <c r="D168"/>
      <c r="F168"/>
    </row>
    <row r="169" spans="2:6" ht="20.100000000000001" customHeight="1" x14ac:dyDescent="0.2">
      <c r="B169"/>
      <c r="D169"/>
      <c r="F169"/>
    </row>
    <row r="170" spans="2:6" ht="20.100000000000001" customHeight="1" x14ac:dyDescent="0.2">
      <c r="B170"/>
      <c r="D170"/>
      <c r="F170"/>
    </row>
    <row r="171" spans="2:6" ht="20.100000000000001" customHeight="1" x14ac:dyDescent="0.2">
      <c r="B171"/>
      <c r="D171"/>
      <c r="F171"/>
    </row>
    <row r="172" spans="2:6" ht="20.100000000000001" customHeight="1" x14ac:dyDescent="0.2">
      <c r="B172"/>
      <c r="D172"/>
      <c r="F172"/>
    </row>
    <row r="173" spans="2:6" ht="20.100000000000001" customHeight="1" x14ac:dyDescent="0.2">
      <c r="B173"/>
      <c r="D173"/>
      <c r="F173"/>
    </row>
    <row r="174" spans="2:6" ht="20.100000000000001" customHeight="1" x14ac:dyDescent="0.2">
      <c r="B174"/>
      <c r="D174"/>
      <c r="F174"/>
    </row>
    <row r="175" spans="2:6" ht="20.100000000000001" customHeight="1" x14ac:dyDescent="0.2">
      <c r="B175"/>
      <c r="D175"/>
      <c r="F175"/>
    </row>
    <row r="176" spans="2:6" ht="20.100000000000001" customHeight="1" x14ac:dyDescent="0.2">
      <c r="B176"/>
      <c r="D176"/>
      <c r="F176"/>
    </row>
    <row r="177" spans="2:6" ht="20.100000000000001" customHeight="1" x14ac:dyDescent="0.2">
      <c r="B177"/>
      <c r="D177"/>
      <c r="F177"/>
    </row>
    <row r="178" spans="2:6" ht="20.100000000000001" customHeight="1" x14ac:dyDescent="0.2">
      <c r="B178"/>
      <c r="D178"/>
      <c r="F178"/>
    </row>
    <row r="179" spans="2:6" ht="20.100000000000001" customHeight="1" x14ac:dyDescent="0.2">
      <c r="B179"/>
      <c r="D179"/>
      <c r="F179"/>
    </row>
    <row r="180" spans="2:6" ht="20.100000000000001" customHeight="1" x14ac:dyDescent="0.2">
      <c r="B180"/>
      <c r="D180"/>
      <c r="F180"/>
    </row>
    <row r="181" spans="2:6" ht="20.100000000000001" customHeight="1" x14ac:dyDescent="0.2">
      <c r="B181"/>
      <c r="D181"/>
      <c r="F181"/>
    </row>
    <row r="182" spans="2:6" ht="20.100000000000001" customHeight="1" x14ac:dyDescent="0.2">
      <c r="B182"/>
      <c r="D182"/>
      <c r="F182"/>
    </row>
    <row r="183" spans="2:6" ht="20.100000000000001" customHeight="1" x14ac:dyDescent="0.2">
      <c r="B183"/>
      <c r="D183"/>
      <c r="F183"/>
    </row>
    <row r="184" spans="2:6" ht="20.100000000000001" customHeight="1" x14ac:dyDescent="0.2">
      <c r="B184"/>
      <c r="D184"/>
      <c r="F184"/>
    </row>
    <row r="185" spans="2:6" ht="20.100000000000001" customHeight="1" x14ac:dyDescent="0.2">
      <c r="B185"/>
      <c r="D185"/>
      <c r="F185"/>
    </row>
    <row r="186" spans="2:6" ht="20.100000000000001" customHeight="1" x14ac:dyDescent="0.2">
      <c r="B186"/>
      <c r="D186"/>
      <c r="F186"/>
    </row>
    <row r="187" spans="2:6" ht="20.100000000000001" customHeight="1" x14ac:dyDescent="0.2">
      <c r="B187"/>
      <c r="D187"/>
      <c r="F187"/>
    </row>
    <row r="188" spans="2:6" ht="20.100000000000001" customHeight="1" x14ac:dyDescent="0.2">
      <c r="B188"/>
      <c r="D188"/>
      <c r="F188"/>
    </row>
    <row r="189" spans="2:6" ht="20.100000000000001" customHeight="1" x14ac:dyDescent="0.2">
      <c r="B189"/>
      <c r="D189"/>
      <c r="F189"/>
    </row>
    <row r="190" spans="2:6" ht="20.100000000000001" customHeight="1" x14ac:dyDescent="0.2">
      <c r="B190"/>
      <c r="D190"/>
      <c r="F190"/>
    </row>
    <row r="191" spans="2:6" ht="20.100000000000001" customHeight="1" x14ac:dyDescent="0.2">
      <c r="B191"/>
      <c r="D191"/>
      <c r="F191"/>
    </row>
    <row r="192" spans="2:6" ht="20.100000000000001" customHeight="1" x14ac:dyDescent="0.2">
      <c r="B192"/>
      <c r="D192"/>
      <c r="F192"/>
    </row>
    <row r="193" spans="2:6" ht="20.100000000000001" customHeight="1" x14ac:dyDescent="0.2">
      <c r="B193"/>
      <c r="D193"/>
      <c r="F193"/>
    </row>
    <row r="194" spans="2:6" ht="20.100000000000001" customHeight="1" x14ac:dyDescent="0.2">
      <c r="B194"/>
      <c r="D194"/>
      <c r="F194"/>
    </row>
    <row r="195" spans="2:6" ht="20.100000000000001" customHeight="1" x14ac:dyDescent="0.2">
      <c r="B195"/>
      <c r="D195"/>
      <c r="F195"/>
    </row>
    <row r="196" spans="2:6" ht="20.100000000000001" customHeight="1" x14ac:dyDescent="0.2">
      <c r="B196"/>
      <c r="D196"/>
      <c r="F196"/>
    </row>
    <row r="197" spans="2:6" ht="20.100000000000001" customHeight="1" x14ac:dyDescent="0.2">
      <c r="B197"/>
      <c r="D197"/>
      <c r="F197"/>
    </row>
    <row r="198" spans="2:6" ht="20.100000000000001" customHeight="1" x14ac:dyDescent="0.2">
      <c r="B198"/>
      <c r="D198"/>
      <c r="F198"/>
    </row>
    <row r="199" spans="2:6" ht="20.100000000000001" customHeight="1" x14ac:dyDescent="0.2">
      <c r="B199"/>
      <c r="D199"/>
      <c r="F199"/>
    </row>
    <row r="200" spans="2:6" ht="20.100000000000001" customHeight="1" x14ac:dyDescent="0.2">
      <c r="B200"/>
      <c r="D200"/>
      <c r="F200"/>
    </row>
    <row r="201" spans="2:6" ht="20.100000000000001" customHeight="1" x14ac:dyDescent="0.2">
      <c r="B201"/>
      <c r="D201"/>
      <c r="F201"/>
    </row>
    <row r="202" spans="2:6" ht="20.100000000000001" customHeight="1" x14ac:dyDescent="0.2">
      <c r="B202"/>
      <c r="D202"/>
      <c r="F202"/>
    </row>
    <row r="203" spans="2:6" ht="20.100000000000001" customHeight="1" x14ac:dyDescent="0.2">
      <c r="B203"/>
      <c r="D203"/>
      <c r="F203"/>
    </row>
    <row r="204" spans="2:6" ht="20.100000000000001" customHeight="1" x14ac:dyDescent="0.2">
      <c r="B204"/>
      <c r="D204"/>
      <c r="F204"/>
    </row>
    <row r="205" spans="2:6" ht="20.100000000000001" customHeight="1" x14ac:dyDescent="0.2">
      <c r="B205"/>
      <c r="D205"/>
      <c r="F205"/>
    </row>
    <row r="206" spans="2:6" ht="20.100000000000001" customHeight="1" x14ac:dyDescent="0.2">
      <c r="B206"/>
      <c r="D206"/>
      <c r="F206"/>
    </row>
    <row r="207" spans="2:6" ht="20.100000000000001" customHeight="1" x14ac:dyDescent="0.2">
      <c r="B207"/>
      <c r="D207"/>
      <c r="F207"/>
    </row>
    <row r="208" spans="2:6" ht="20.100000000000001" customHeight="1" x14ac:dyDescent="0.2">
      <c r="B208"/>
      <c r="D208"/>
      <c r="F208"/>
    </row>
    <row r="209" spans="2:6" ht="20.100000000000001" customHeight="1" x14ac:dyDescent="0.2">
      <c r="B209"/>
      <c r="D209"/>
      <c r="F209"/>
    </row>
    <row r="210" spans="2:6" ht="20.100000000000001" customHeight="1" x14ac:dyDescent="0.2">
      <c r="B210"/>
      <c r="D210"/>
      <c r="F210"/>
    </row>
    <row r="211" spans="2:6" ht="20.100000000000001" customHeight="1" x14ac:dyDescent="0.2">
      <c r="B211"/>
      <c r="D211"/>
      <c r="F211"/>
    </row>
    <row r="212" spans="2:6" ht="20.100000000000001" customHeight="1" x14ac:dyDescent="0.2">
      <c r="B212"/>
      <c r="D212"/>
      <c r="F212"/>
    </row>
    <row r="213" spans="2:6" ht="20.100000000000001" customHeight="1" x14ac:dyDescent="0.2">
      <c r="B213"/>
      <c r="D213"/>
      <c r="F213"/>
    </row>
    <row r="214" spans="2:6" ht="20.100000000000001" customHeight="1" x14ac:dyDescent="0.2">
      <c r="B214"/>
      <c r="D214"/>
      <c r="F214"/>
    </row>
    <row r="215" spans="2:6" ht="20.100000000000001" customHeight="1" x14ac:dyDescent="0.2">
      <c r="B215"/>
      <c r="D215"/>
      <c r="F215"/>
    </row>
    <row r="216" spans="2:6" ht="20.100000000000001" customHeight="1" x14ac:dyDescent="0.2">
      <c r="B216"/>
      <c r="D216"/>
      <c r="F216"/>
    </row>
    <row r="217" spans="2:6" ht="20.100000000000001" customHeight="1" x14ac:dyDescent="0.2">
      <c r="B217"/>
      <c r="D217"/>
      <c r="F217"/>
    </row>
    <row r="218" spans="2:6" ht="20.100000000000001" customHeight="1" x14ac:dyDescent="0.2">
      <c r="B218"/>
      <c r="D218"/>
      <c r="F218"/>
    </row>
    <row r="219" spans="2:6" ht="20.100000000000001" customHeight="1" x14ac:dyDescent="0.2">
      <c r="B219"/>
      <c r="D219"/>
      <c r="F219"/>
    </row>
    <row r="220" spans="2:6" ht="20.100000000000001" customHeight="1" x14ac:dyDescent="0.2">
      <c r="B220"/>
      <c r="D220"/>
      <c r="F220"/>
    </row>
    <row r="221" spans="2:6" ht="20.100000000000001" customHeight="1" x14ac:dyDescent="0.2">
      <c r="B221"/>
      <c r="D221"/>
      <c r="F221"/>
    </row>
    <row r="222" spans="2:6" ht="20.100000000000001" customHeight="1" x14ac:dyDescent="0.2">
      <c r="B222"/>
      <c r="D222"/>
      <c r="F222"/>
    </row>
    <row r="223" spans="2:6" ht="20.100000000000001" customHeight="1" x14ac:dyDescent="0.2">
      <c r="B223"/>
      <c r="D223"/>
      <c r="F223"/>
    </row>
    <row r="224" spans="2:6" ht="20.100000000000001" customHeight="1" x14ac:dyDescent="0.2">
      <c r="B224"/>
      <c r="D224"/>
      <c r="F224"/>
    </row>
    <row r="225" spans="2:6" ht="20.100000000000001" customHeight="1" x14ac:dyDescent="0.2">
      <c r="B225"/>
      <c r="D225"/>
      <c r="F225"/>
    </row>
    <row r="226" spans="2:6" ht="20.100000000000001" customHeight="1" x14ac:dyDescent="0.2">
      <c r="B226"/>
      <c r="D226"/>
      <c r="F226"/>
    </row>
    <row r="227" spans="2:6" ht="20.100000000000001" customHeight="1" x14ac:dyDescent="0.2">
      <c r="B227"/>
      <c r="D227"/>
      <c r="F227"/>
    </row>
    <row r="228" spans="2:6" ht="20.100000000000001" customHeight="1" x14ac:dyDescent="0.2">
      <c r="B228"/>
      <c r="D228"/>
      <c r="F228"/>
    </row>
    <row r="229" spans="2:6" ht="20.100000000000001" customHeight="1" x14ac:dyDescent="0.2">
      <c r="B229"/>
      <c r="D229"/>
      <c r="F229"/>
    </row>
    <row r="230" spans="2:6" ht="20.100000000000001" customHeight="1" x14ac:dyDescent="0.2">
      <c r="B230"/>
      <c r="D230"/>
      <c r="F230"/>
    </row>
    <row r="231" spans="2:6" ht="20.100000000000001" customHeight="1" x14ac:dyDescent="0.2">
      <c r="B231"/>
      <c r="D231"/>
      <c r="F231"/>
    </row>
    <row r="232" spans="2:6" ht="20.100000000000001" customHeight="1" x14ac:dyDescent="0.2">
      <c r="B232"/>
      <c r="D232"/>
      <c r="F232"/>
    </row>
    <row r="233" spans="2:6" ht="20.100000000000001" customHeight="1" x14ac:dyDescent="0.2">
      <c r="B233"/>
      <c r="D233"/>
      <c r="F233"/>
    </row>
    <row r="234" spans="2:6" ht="20.100000000000001" customHeight="1" x14ac:dyDescent="0.2">
      <c r="B234"/>
      <c r="D234"/>
      <c r="F234"/>
    </row>
    <row r="235" spans="2:6" ht="20.100000000000001" customHeight="1" x14ac:dyDescent="0.2">
      <c r="B235"/>
      <c r="D235"/>
      <c r="F235"/>
    </row>
    <row r="236" spans="2:6" ht="20.100000000000001" customHeight="1" x14ac:dyDescent="0.2">
      <c r="B236"/>
      <c r="D236"/>
      <c r="F236"/>
    </row>
    <row r="237" spans="2:6" ht="20.100000000000001" customHeight="1" x14ac:dyDescent="0.2">
      <c r="B237"/>
      <c r="D237"/>
      <c r="F237"/>
    </row>
    <row r="238" spans="2:6" ht="20.100000000000001" customHeight="1" x14ac:dyDescent="0.2">
      <c r="B238"/>
      <c r="D238"/>
      <c r="F238"/>
    </row>
    <row r="239" spans="2:6" ht="20.100000000000001" customHeight="1" x14ac:dyDescent="0.2">
      <c r="B239"/>
      <c r="D239"/>
      <c r="F239"/>
    </row>
    <row r="240" spans="2:6" ht="20.100000000000001" customHeight="1" x14ac:dyDescent="0.2">
      <c r="B240"/>
      <c r="D240"/>
      <c r="F240"/>
    </row>
    <row r="241" spans="2:6" ht="20.100000000000001" customHeight="1" x14ac:dyDescent="0.2">
      <c r="B241"/>
      <c r="D241"/>
      <c r="F241"/>
    </row>
    <row r="242" spans="2:6" ht="20.100000000000001" customHeight="1" x14ac:dyDescent="0.2">
      <c r="B242"/>
      <c r="D242"/>
      <c r="F242"/>
    </row>
    <row r="243" spans="2:6" ht="20.100000000000001" customHeight="1" x14ac:dyDescent="0.2">
      <c r="B243"/>
      <c r="D243"/>
      <c r="F243"/>
    </row>
    <row r="244" spans="2:6" ht="20.100000000000001" customHeight="1" x14ac:dyDescent="0.2">
      <c r="B244"/>
      <c r="D244"/>
      <c r="F244"/>
    </row>
    <row r="245" spans="2:6" ht="20.100000000000001" customHeight="1" x14ac:dyDescent="0.2">
      <c r="B245"/>
      <c r="D245"/>
      <c r="F245"/>
    </row>
    <row r="246" spans="2:6" ht="20.100000000000001" customHeight="1" x14ac:dyDescent="0.2">
      <c r="B246"/>
      <c r="D246"/>
      <c r="F246"/>
    </row>
    <row r="247" spans="2:6" ht="20.100000000000001" customHeight="1" x14ac:dyDescent="0.2">
      <c r="B247"/>
      <c r="D247"/>
      <c r="F247"/>
    </row>
    <row r="248" spans="2:6" ht="20.100000000000001" customHeight="1" x14ac:dyDescent="0.2">
      <c r="B248"/>
      <c r="D248"/>
      <c r="F248"/>
    </row>
    <row r="249" spans="2:6" ht="20.100000000000001" customHeight="1" x14ac:dyDescent="0.2">
      <c r="B249"/>
      <c r="D249"/>
      <c r="F249"/>
    </row>
    <row r="250" spans="2:6" ht="20.100000000000001" customHeight="1" x14ac:dyDescent="0.2">
      <c r="B250"/>
      <c r="D250"/>
      <c r="F250"/>
    </row>
    <row r="251" spans="2:6" ht="20.100000000000001" customHeight="1" x14ac:dyDescent="0.2">
      <c r="B251"/>
      <c r="D251"/>
      <c r="F251"/>
    </row>
    <row r="252" spans="2:6" ht="20.100000000000001" customHeight="1" x14ac:dyDescent="0.2">
      <c r="B252"/>
      <c r="D252"/>
      <c r="F252"/>
    </row>
    <row r="253" spans="2:6" ht="20.100000000000001" customHeight="1" x14ac:dyDescent="0.2">
      <c r="B253"/>
      <c r="D253"/>
      <c r="F253"/>
    </row>
    <row r="254" spans="2:6" ht="20.100000000000001" customHeight="1" x14ac:dyDescent="0.2">
      <c r="B254"/>
      <c r="D254"/>
      <c r="F254"/>
    </row>
    <row r="255" spans="2:6" ht="20.100000000000001" customHeight="1" x14ac:dyDescent="0.2">
      <c r="B255"/>
      <c r="D255"/>
      <c r="F255"/>
    </row>
    <row r="256" spans="2:6" ht="20.100000000000001" customHeight="1" x14ac:dyDescent="0.2">
      <c r="B256"/>
      <c r="D256"/>
      <c r="F256"/>
    </row>
    <row r="257" spans="2:6" ht="20.100000000000001" customHeight="1" x14ac:dyDescent="0.2">
      <c r="B257"/>
      <c r="D257"/>
      <c r="F257"/>
    </row>
    <row r="258" spans="2:6" ht="20.100000000000001" customHeight="1" x14ac:dyDescent="0.2">
      <c r="B258"/>
      <c r="D258"/>
      <c r="F258"/>
    </row>
    <row r="259" spans="2:6" ht="20.100000000000001" customHeight="1" x14ac:dyDescent="0.2">
      <c r="B259"/>
      <c r="D259"/>
      <c r="F259"/>
    </row>
    <row r="260" spans="2:6" ht="20.100000000000001" customHeight="1" x14ac:dyDescent="0.2">
      <c r="B260"/>
      <c r="D260"/>
      <c r="F260"/>
    </row>
    <row r="261" spans="2:6" ht="20.100000000000001" customHeight="1" x14ac:dyDescent="0.2">
      <c r="B261"/>
      <c r="D261"/>
      <c r="F261"/>
    </row>
    <row r="262" spans="2:6" ht="20.100000000000001" customHeight="1" x14ac:dyDescent="0.2">
      <c r="B262"/>
      <c r="D262"/>
      <c r="F262"/>
    </row>
    <row r="263" spans="2:6" ht="20.100000000000001" customHeight="1" x14ac:dyDescent="0.2">
      <c r="B263"/>
      <c r="D263"/>
      <c r="F263"/>
    </row>
    <row r="264" spans="2:6" ht="20.100000000000001" customHeight="1" x14ac:dyDescent="0.2">
      <c r="B264"/>
      <c r="D264"/>
      <c r="F264"/>
    </row>
    <row r="265" spans="2:6" ht="20.100000000000001" customHeight="1" x14ac:dyDescent="0.2">
      <c r="B265"/>
      <c r="D265"/>
      <c r="F265"/>
    </row>
    <row r="266" spans="2:6" ht="20.100000000000001" customHeight="1" x14ac:dyDescent="0.2">
      <c r="B266"/>
      <c r="D266"/>
      <c r="F266"/>
    </row>
    <row r="267" spans="2:6" ht="20.100000000000001" customHeight="1" x14ac:dyDescent="0.2">
      <c r="B267"/>
      <c r="D267"/>
      <c r="F267"/>
    </row>
    <row r="268" spans="2:6" ht="20.100000000000001" customHeight="1" x14ac:dyDescent="0.2">
      <c r="B268"/>
      <c r="D268"/>
      <c r="F268"/>
    </row>
    <row r="269" spans="2:6" ht="20.100000000000001" customHeight="1" x14ac:dyDescent="0.2">
      <c r="B269"/>
      <c r="D269"/>
      <c r="F269"/>
    </row>
    <row r="270" spans="2:6" ht="20.100000000000001" customHeight="1" x14ac:dyDescent="0.2">
      <c r="B270"/>
      <c r="D270"/>
      <c r="F270"/>
    </row>
    <row r="271" spans="2:6" ht="20.100000000000001" customHeight="1" x14ac:dyDescent="0.2">
      <c r="B271"/>
      <c r="D271"/>
      <c r="F271"/>
    </row>
    <row r="272" spans="2:6" ht="20.100000000000001" customHeight="1" x14ac:dyDescent="0.2">
      <c r="B272"/>
      <c r="D272"/>
      <c r="F272"/>
    </row>
    <row r="273" spans="2:6" ht="20.100000000000001" customHeight="1" x14ac:dyDescent="0.2">
      <c r="B273"/>
      <c r="D273"/>
      <c r="F273"/>
    </row>
    <row r="274" spans="2:6" ht="20.100000000000001" customHeight="1" x14ac:dyDescent="0.2">
      <c r="B274"/>
      <c r="D274"/>
      <c r="F274"/>
    </row>
    <row r="275" spans="2:6" ht="20.100000000000001" customHeight="1" x14ac:dyDescent="0.2">
      <c r="B275"/>
      <c r="D275"/>
      <c r="F275"/>
    </row>
    <row r="276" spans="2:6" ht="20.100000000000001" customHeight="1" x14ac:dyDescent="0.2">
      <c r="B276"/>
      <c r="D276"/>
      <c r="F276"/>
    </row>
    <row r="277" spans="2:6" ht="20.100000000000001" customHeight="1" x14ac:dyDescent="0.2">
      <c r="B277"/>
      <c r="D277"/>
      <c r="F277"/>
    </row>
    <row r="278" spans="2:6" ht="20.100000000000001" customHeight="1" x14ac:dyDescent="0.2">
      <c r="B278"/>
      <c r="D278"/>
      <c r="F278"/>
    </row>
    <row r="279" spans="2:6" ht="20.100000000000001" customHeight="1" x14ac:dyDescent="0.2">
      <c r="B279"/>
      <c r="D279"/>
      <c r="F279"/>
    </row>
    <row r="280" spans="2:6" ht="20.100000000000001" customHeight="1" x14ac:dyDescent="0.2">
      <c r="B280"/>
      <c r="D280"/>
      <c r="F280"/>
    </row>
    <row r="281" spans="2:6" ht="20.100000000000001" customHeight="1" x14ac:dyDescent="0.2">
      <c r="B281"/>
      <c r="D281"/>
      <c r="F281"/>
    </row>
    <row r="282" spans="2:6" ht="20.100000000000001" customHeight="1" x14ac:dyDescent="0.2">
      <c r="B282"/>
      <c r="D282"/>
      <c r="F282"/>
    </row>
    <row r="283" spans="2:6" ht="20.100000000000001" customHeight="1" x14ac:dyDescent="0.2">
      <c r="B283"/>
      <c r="D283"/>
      <c r="F283"/>
    </row>
    <row r="284" spans="2:6" ht="20.100000000000001" customHeight="1" x14ac:dyDescent="0.2">
      <c r="B284"/>
      <c r="D284"/>
      <c r="F284"/>
    </row>
    <row r="285" spans="2:6" ht="20.100000000000001" customHeight="1" x14ac:dyDescent="0.2">
      <c r="B285"/>
      <c r="D285"/>
      <c r="F285"/>
    </row>
    <row r="286" spans="2:6" ht="20.100000000000001" customHeight="1" x14ac:dyDescent="0.2">
      <c r="B286"/>
      <c r="D286"/>
      <c r="F286"/>
    </row>
    <row r="287" spans="2:6" ht="20.100000000000001" customHeight="1" x14ac:dyDescent="0.2">
      <c r="B287"/>
      <c r="D287"/>
      <c r="F287"/>
    </row>
    <row r="288" spans="2:6" ht="20.100000000000001" customHeight="1" x14ac:dyDescent="0.2">
      <c r="B288"/>
      <c r="D288"/>
      <c r="F288"/>
    </row>
    <row r="289" spans="2:6" ht="20.100000000000001" customHeight="1" x14ac:dyDescent="0.2">
      <c r="B289"/>
      <c r="D289"/>
      <c r="F289"/>
    </row>
    <row r="290" spans="2:6" ht="20.100000000000001" customHeight="1" x14ac:dyDescent="0.2">
      <c r="B290"/>
      <c r="D290"/>
      <c r="F290"/>
    </row>
    <row r="291" spans="2:6" ht="20.100000000000001" customHeight="1" x14ac:dyDescent="0.2">
      <c r="B291"/>
      <c r="D291"/>
      <c r="F291"/>
    </row>
    <row r="292" spans="2:6" ht="20.100000000000001" customHeight="1" x14ac:dyDescent="0.2">
      <c r="B292"/>
      <c r="D292"/>
      <c r="F292"/>
    </row>
    <row r="293" spans="2:6" ht="20.100000000000001" customHeight="1" x14ac:dyDescent="0.2">
      <c r="B293"/>
      <c r="D293"/>
      <c r="F293"/>
    </row>
    <row r="294" spans="2:6" ht="20.100000000000001" customHeight="1" x14ac:dyDescent="0.2">
      <c r="B294"/>
      <c r="D294"/>
      <c r="F294"/>
    </row>
    <row r="295" spans="2:6" ht="20.100000000000001" customHeight="1" x14ac:dyDescent="0.2">
      <c r="B295"/>
      <c r="D295"/>
      <c r="F295"/>
    </row>
    <row r="296" spans="2:6" ht="20.100000000000001" customHeight="1" x14ac:dyDescent="0.2">
      <c r="B296"/>
      <c r="D296"/>
      <c r="F296"/>
    </row>
    <row r="297" spans="2:6" ht="20.100000000000001" customHeight="1" x14ac:dyDescent="0.2">
      <c r="B297"/>
      <c r="D297"/>
      <c r="F297"/>
    </row>
    <row r="298" spans="2:6" ht="20.100000000000001" customHeight="1" x14ac:dyDescent="0.2">
      <c r="B298"/>
      <c r="D298"/>
      <c r="F298"/>
    </row>
    <row r="299" spans="2:6" ht="20.100000000000001" customHeight="1" x14ac:dyDescent="0.2">
      <c r="B299"/>
      <c r="D299"/>
      <c r="F299"/>
    </row>
    <row r="300" spans="2:6" ht="20.100000000000001" customHeight="1" x14ac:dyDescent="0.2">
      <c r="B300"/>
      <c r="D300"/>
      <c r="F300"/>
    </row>
    <row r="301" spans="2:6" ht="20.100000000000001" customHeight="1" x14ac:dyDescent="0.2">
      <c r="B301"/>
      <c r="D301"/>
      <c r="F301"/>
    </row>
    <row r="302" spans="2:6" ht="20.100000000000001" customHeight="1" x14ac:dyDescent="0.2">
      <c r="B302"/>
      <c r="D302"/>
      <c r="F302"/>
    </row>
    <row r="303" spans="2:6" ht="20.100000000000001" customHeight="1" x14ac:dyDescent="0.2">
      <c r="B303"/>
      <c r="D303"/>
      <c r="F303"/>
    </row>
    <row r="304" spans="2:6" ht="20.100000000000001" customHeight="1" x14ac:dyDescent="0.2">
      <c r="B304"/>
      <c r="D304"/>
      <c r="F304"/>
    </row>
    <row r="305" spans="2:6" ht="20.100000000000001" customHeight="1" x14ac:dyDescent="0.2">
      <c r="B305"/>
      <c r="D305"/>
      <c r="F305"/>
    </row>
    <row r="306" spans="2:6" ht="20.100000000000001" customHeight="1" x14ac:dyDescent="0.2">
      <c r="B306"/>
      <c r="D306"/>
      <c r="F306"/>
    </row>
    <row r="307" spans="2:6" ht="20.100000000000001" customHeight="1" x14ac:dyDescent="0.2">
      <c r="B307"/>
      <c r="D307"/>
      <c r="F307"/>
    </row>
    <row r="308" spans="2:6" ht="20.100000000000001" customHeight="1" x14ac:dyDescent="0.2">
      <c r="B308"/>
      <c r="D308"/>
      <c r="F308"/>
    </row>
    <row r="309" spans="2:6" ht="20.100000000000001" customHeight="1" x14ac:dyDescent="0.2">
      <c r="B309"/>
      <c r="D309"/>
      <c r="F309"/>
    </row>
    <row r="310" spans="2:6" ht="20.100000000000001" customHeight="1" x14ac:dyDescent="0.2">
      <c r="B310"/>
      <c r="D310"/>
      <c r="F310"/>
    </row>
    <row r="311" spans="2:6" ht="20.100000000000001" customHeight="1" x14ac:dyDescent="0.2">
      <c r="B311"/>
      <c r="D311"/>
      <c r="F311"/>
    </row>
    <row r="312" spans="2:6" ht="20.100000000000001" customHeight="1" x14ac:dyDescent="0.2">
      <c r="B312"/>
      <c r="D312"/>
      <c r="F312"/>
    </row>
    <row r="313" spans="2:6" ht="20.100000000000001" customHeight="1" x14ac:dyDescent="0.2">
      <c r="B313"/>
      <c r="D313"/>
      <c r="F313"/>
    </row>
    <row r="314" spans="2:6" ht="20.100000000000001" customHeight="1" x14ac:dyDescent="0.2">
      <c r="B314"/>
      <c r="D314"/>
      <c r="F314"/>
    </row>
    <row r="315" spans="2:6" ht="20.100000000000001" customHeight="1" x14ac:dyDescent="0.2">
      <c r="B315"/>
      <c r="D315"/>
      <c r="F315"/>
    </row>
    <row r="316" spans="2:6" ht="20.100000000000001" customHeight="1" x14ac:dyDescent="0.2">
      <c r="B316"/>
      <c r="D316"/>
      <c r="F316"/>
    </row>
    <row r="317" spans="2:6" ht="20.100000000000001" customHeight="1" x14ac:dyDescent="0.2">
      <c r="B317"/>
      <c r="D317"/>
      <c r="F317"/>
    </row>
    <row r="318" spans="2:6" ht="20.100000000000001" customHeight="1" x14ac:dyDescent="0.2">
      <c r="B318"/>
      <c r="D318"/>
      <c r="F318"/>
    </row>
    <row r="319" spans="2:6" ht="20.100000000000001" customHeight="1" x14ac:dyDescent="0.2">
      <c r="B319"/>
      <c r="D319"/>
      <c r="F319"/>
    </row>
    <row r="320" spans="2:6" ht="20.100000000000001" customHeight="1" x14ac:dyDescent="0.2">
      <c r="B320"/>
      <c r="D320"/>
      <c r="F320"/>
    </row>
    <row r="321" spans="2:6" ht="20.100000000000001" customHeight="1" x14ac:dyDescent="0.2">
      <c r="B321"/>
      <c r="D321"/>
      <c r="F321"/>
    </row>
    <row r="322" spans="2:6" ht="20.100000000000001" customHeight="1" x14ac:dyDescent="0.2">
      <c r="B322"/>
      <c r="D322"/>
      <c r="F322"/>
    </row>
    <row r="323" spans="2:6" ht="20.100000000000001" customHeight="1" x14ac:dyDescent="0.2">
      <c r="B323"/>
      <c r="D323"/>
      <c r="F323"/>
    </row>
    <row r="324" spans="2:6" ht="20.100000000000001" customHeight="1" x14ac:dyDescent="0.2">
      <c r="B324"/>
      <c r="D324"/>
      <c r="F324"/>
    </row>
    <row r="325" spans="2:6" ht="20.100000000000001" customHeight="1" x14ac:dyDescent="0.2">
      <c r="B325"/>
      <c r="D325"/>
      <c r="F325"/>
    </row>
    <row r="326" spans="2:6" ht="20.100000000000001" customHeight="1" x14ac:dyDescent="0.2">
      <c r="B326"/>
      <c r="D326"/>
      <c r="F326"/>
    </row>
    <row r="327" spans="2:6" ht="20.100000000000001" customHeight="1" x14ac:dyDescent="0.2">
      <c r="B327"/>
      <c r="D327"/>
      <c r="F327"/>
    </row>
    <row r="328" spans="2:6" ht="20.100000000000001" customHeight="1" x14ac:dyDescent="0.2">
      <c r="B328"/>
      <c r="D328"/>
      <c r="F328"/>
    </row>
    <row r="329" spans="2:6" ht="20.100000000000001" customHeight="1" x14ac:dyDescent="0.2">
      <c r="B329"/>
      <c r="D329"/>
      <c r="F329"/>
    </row>
    <row r="330" spans="2:6" ht="20.100000000000001" customHeight="1" x14ac:dyDescent="0.2">
      <c r="B330"/>
      <c r="D330"/>
      <c r="F330"/>
    </row>
    <row r="331" spans="2:6" ht="20.100000000000001" customHeight="1" x14ac:dyDescent="0.2">
      <c r="B331"/>
      <c r="D331"/>
      <c r="F331"/>
    </row>
    <row r="332" spans="2:6" ht="20.100000000000001" customHeight="1" x14ac:dyDescent="0.2">
      <c r="B332"/>
      <c r="D332"/>
      <c r="F332"/>
    </row>
    <row r="333" spans="2:6" ht="20.100000000000001" customHeight="1" x14ac:dyDescent="0.2">
      <c r="B333"/>
      <c r="D333"/>
      <c r="F333"/>
    </row>
    <row r="334" spans="2:6" ht="20.100000000000001" customHeight="1" x14ac:dyDescent="0.2">
      <c r="B334"/>
      <c r="D334"/>
      <c r="F334"/>
    </row>
    <row r="335" spans="2:6" ht="20.100000000000001" customHeight="1" x14ac:dyDescent="0.2">
      <c r="B335"/>
      <c r="D335"/>
      <c r="F335"/>
    </row>
    <row r="336" spans="2:6" ht="20.100000000000001" customHeight="1" x14ac:dyDescent="0.2">
      <c r="B336"/>
      <c r="D336"/>
      <c r="F336"/>
    </row>
    <row r="337" spans="2:6" ht="20.100000000000001" customHeight="1" x14ac:dyDescent="0.2">
      <c r="B337"/>
      <c r="D337"/>
      <c r="F337"/>
    </row>
    <row r="338" spans="2:6" ht="20.100000000000001" customHeight="1" x14ac:dyDescent="0.2">
      <c r="B338"/>
      <c r="D338"/>
      <c r="F338"/>
    </row>
    <row r="339" spans="2:6" ht="20.100000000000001" customHeight="1" x14ac:dyDescent="0.2">
      <c r="B339"/>
      <c r="D339"/>
      <c r="F339"/>
    </row>
    <row r="340" spans="2:6" ht="20.100000000000001" customHeight="1" x14ac:dyDescent="0.2">
      <c r="B340"/>
      <c r="D340"/>
      <c r="F340"/>
    </row>
    <row r="341" spans="2:6" ht="20.100000000000001" customHeight="1" x14ac:dyDescent="0.2">
      <c r="B341"/>
      <c r="D341"/>
      <c r="F341"/>
    </row>
    <row r="342" spans="2:6" ht="20.100000000000001" customHeight="1" x14ac:dyDescent="0.2">
      <c r="B342"/>
      <c r="D342"/>
      <c r="F342"/>
    </row>
    <row r="343" spans="2:6" ht="20.100000000000001" customHeight="1" x14ac:dyDescent="0.2">
      <c r="B343"/>
      <c r="D343"/>
      <c r="F343"/>
    </row>
    <row r="344" spans="2:6" ht="20.100000000000001" customHeight="1" x14ac:dyDescent="0.2">
      <c r="B344"/>
      <c r="D344"/>
      <c r="F344"/>
    </row>
    <row r="345" spans="2:6" ht="20.100000000000001" customHeight="1" x14ac:dyDescent="0.2">
      <c r="B345"/>
      <c r="D345"/>
      <c r="F345"/>
    </row>
    <row r="346" spans="2:6" ht="20.100000000000001" customHeight="1" x14ac:dyDescent="0.2">
      <c r="B346"/>
      <c r="D346"/>
      <c r="F346"/>
    </row>
    <row r="347" spans="2:6" ht="20.100000000000001" customHeight="1" x14ac:dyDescent="0.2">
      <c r="B347"/>
      <c r="D347"/>
      <c r="F347"/>
    </row>
    <row r="348" spans="2:6" ht="20.100000000000001" customHeight="1" x14ac:dyDescent="0.2">
      <c r="B348"/>
      <c r="D348"/>
      <c r="F348"/>
    </row>
    <row r="349" spans="2:6" ht="20.100000000000001" customHeight="1" x14ac:dyDescent="0.2">
      <c r="B349"/>
      <c r="D349"/>
      <c r="F349"/>
    </row>
    <row r="350" spans="2:6" ht="20.100000000000001" customHeight="1" x14ac:dyDescent="0.2">
      <c r="B350"/>
      <c r="D350"/>
      <c r="F350"/>
    </row>
    <row r="351" spans="2:6" ht="20.100000000000001" customHeight="1" x14ac:dyDescent="0.2">
      <c r="B351"/>
      <c r="D351"/>
      <c r="F351"/>
    </row>
    <row r="352" spans="2:6" ht="20.100000000000001" customHeight="1" x14ac:dyDescent="0.2">
      <c r="B352"/>
      <c r="D352"/>
      <c r="F352"/>
    </row>
    <row r="353" spans="2:6" ht="20.100000000000001" customHeight="1" x14ac:dyDescent="0.2">
      <c r="B353"/>
      <c r="D353"/>
      <c r="F353"/>
    </row>
    <row r="354" spans="2:6" ht="20.100000000000001" customHeight="1" x14ac:dyDescent="0.2">
      <c r="B354"/>
      <c r="D354"/>
      <c r="F354"/>
    </row>
    <row r="355" spans="2:6" ht="20.100000000000001" customHeight="1" x14ac:dyDescent="0.2">
      <c r="B355"/>
      <c r="D355"/>
      <c r="F355"/>
    </row>
    <row r="356" spans="2:6" ht="20.100000000000001" customHeight="1" x14ac:dyDescent="0.2">
      <c r="B356"/>
      <c r="D356"/>
      <c r="F356"/>
    </row>
    <row r="357" spans="2:6" ht="20.100000000000001" customHeight="1" x14ac:dyDescent="0.2">
      <c r="B357"/>
      <c r="D357"/>
      <c r="F357"/>
    </row>
    <row r="358" spans="2:6" ht="20.100000000000001" customHeight="1" x14ac:dyDescent="0.2">
      <c r="B358"/>
      <c r="D358"/>
      <c r="F358"/>
    </row>
    <row r="359" spans="2:6" ht="20.100000000000001" customHeight="1" x14ac:dyDescent="0.2">
      <c r="B359"/>
      <c r="D359"/>
      <c r="F359"/>
    </row>
    <row r="360" spans="2:6" ht="20.100000000000001" customHeight="1" x14ac:dyDescent="0.2">
      <c r="B360"/>
      <c r="D360"/>
      <c r="F360"/>
    </row>
    <row r="361" spans="2:6" ht="20.100000000000001" customHeight="1" x14ac:dyDescent="0.2">
      <c r="B361"/>
      <c r="D361"/>
      <c r="F361"/>
    </row>
    <row r="362" spans="2:6" ht="20.100000000000001" customHeight="1" x14ac:dyDescent="0.2">
      <c r="B362"/>
      <c r="D362"/>
      <c r="F362"/>
    </row>
    <row r="363" spans="2:6" ht="20.100000000000001" customHeight="1" x14ac:dyDescent="0.2">
      <c r="B363"/>
      <c r="D363"/>
      <c r="F363"/>
    </row>
    <row r="364" spans="2:6" ht="20.100000000000001" customHeight="1" x14ac:dyDescent="0.2">
      <c r="B364"/>
      <c r="D364"/>
      <c r="F364"/>
    </row>
    <row r="365" spans="2:6" ht="20.100000000000001" customHeight="1" x14ac:dyDescent="0.2">
      <c r="B365"/>
      <c r="D365"/>
      <c r="F365"/>
    </row>
    <row r="366" spans="2:6" ht="20.100000000000001" customHeight="1" x14ac:dyDescent="0.2">
      <c r="B366"/>
      <c r="D366"/>
      <c r="F366"/>
    </row>
    <row r="367" spans="2:6" ht="20.100000000000001" customHeight="1" x14ac:dyDescent="0.2">
      <c r="B367"/>
      <c r="D367"/>
      <c r="F367"/>
    </row>
    <row r="368" spans="2:6" ht="20.100000000000001" customHeight="1" x14ac:dyDescent="0.2">
      <c r="B368"/>
      <c r="D368"/>
      <c r="F368"/>
    </row>
    <row r="369" spans="2:6" ht="20.100000000000001" customHeight="1" x14ac:dyDescent="0.2">
      <c r="B369"/>
      <c r="D369"/>
      <c r="F369"/>
    </row>
    <row r="370" spans="2:6" ht="20.100000000000001" customHeight="1" x14ac:dyDescent="0.2">
      <c r="B370"/>
      <c r="D370"/>
      <c r="F370"/>
    </row>
    <row r="371" spans="2:6" ht="20.100000000000001" customHeight="1" x14ac:dyDescent="0.2">
      <c r="B371"/>
      <c r="D371"/>
      <c r="F371"/>
    </row>
    <row r="372" spans="2:6" ht="20.100000000000001" customHeight="1" x14ac:dyDescent="0.2">
      <c r="B372"/>
      <c r="D372"/>
      <c r="F372"/>
    </row>
    <row r="373" spans="2:6" ht="20.100000000000001" customHeight="1" x14ac:dyDescent="0.2">
      <c r="B373"/>
      <c r="D373"/>
      <c r="F373"/>
    </row>
    <row r="374" spans="2:6" ht="20.100000000000001" customHeight="1" x14ac:dyDescent="0.2">
      <c r="B374"/>
      <c r="D374"/>
      <c r="F374"/>
    </row>
    <row r="375" spans="2:6" ht="20.100000000000001" customHeight="1" x14ac:dyDescent="0.2">
      <c r="B375"/>
      <c r="D375"/>
      <c r="F375"/>
    </row>
    <row r="376" spans="2:6" ht="20.100000000000001" customHeight="1" x14ac:dyDescent="0.2">
      <c r="B376"/>
      <c r="D376"/>
      <c r="F376"/>
    </row>
    <row r="377" spans="2:6" ht="20.100000000000001" customHeight="1" x14ac:dyDescent="0.2">
      <c r="B377"/>
      <c r="D377"/>
      <c r="F377"/>
    </row>
    <row r="378" spans="2:6" ht="20.100000000000001" customHeight="1" x14ac:dyDescent="0.2">
      <c r="B378"/>
      <c r="D378"/>
      <c r="F378"/>
    </row>
    <row r="379" spans="2:6" ht="20.100000000000001" customHeight="1" x14ac:dyDescent="0.2">
      <c r="B379"/>
      <c r="D379"/>
      <c r="F379"/>
    </row>
    <row r="380" spans="2:6" ht="20.100000000000001" customHeight="1" x14ac:dyDescent="0.2">
      <c r="B380"/>
      <c r="D380"/>
      <c r="F380"/>
    </row>
    <row r="381" spans="2:6" ht="20.100000000000001" customHeight="1" x14ac:dyDescent="0.2">
      <c r="B381"/>
      <c r="D381"/>
      <c r="F381"/>
    </row>
    <row r="382" spans="2:6" ht="20.100000000000001" customHeight="1" x14ac:dyDescent="0.2">
      <c r="B382"/>
      <c r="D382"/>
      <c r="F382"/>
    </row>
    <row r="383" spans="2:6" ht="20.100000000000001" customHeight="1" x14ac:dyDescent="0.2">
      <c r="B383"/>
      <c r="D383"/>
      <c r="F383"/>
    </row>
    <row r="384" spans="2:6" ht="20.100000000000001" customHeight="1" x14ac:dyDescent="0.2">
      <c r="B384"/>
      <c r="D384"/>
      <c r="F384"/>
    </row>
    <row r="385" spans="2:6" ht="20.100000000000001" customHeight="1" x14ac:dyDescent="0.2">
      <c r="B385"/>
      <c r="D385"/>
      <c r="F385"/>
    </row>
    <row r="386" spans="2:6" ht="20.100000000000001" customHeight="1" x14ac:dyDescent="0.2">
      <c r="B386"/>
      <c r="D386"/>
      <c r="F386"/>
    </row>
    <row r="387" spans="2:6" ht="20.100000000000001" customHeight="1" x14ac:dyDescent="0.2">
      <c r="B387"/>
      <c r="D387"/>
      <c r="F387"/>
    </row>
    <row r="388" spans="2:6" ht="20.100000000000001" customHeight="1" x14ac:dyDescent="0.2">
      <c r="B388"/>
      <c r="D388"/>
      <c r="F388"/>
    </row>
    <row r="389" spans="2:6" ht="20.100000000000001" customHeight="1" x14ac:dyDescent="0.2">
      <c r="B389"/>
      <c r="D389"/>
      <c r="F389"/>
    </row>
    <row r="390" spans="2:6" ht="20.100000000000001" customHeight="1" x14ac:dyDescent="0.2">
      <c r="B390"/>
      <c r="D390"/>
      <c r="F390"/>
    </row>
    <row r="391" spans="2:6" ht="20.100000000000001" customHeight="1" x14ac:dyDescent="0.2">
      <c r="B391"/>
      <c r="D391"/>
      <c r="F391"/>
    </row>
    <row r="392" spans="2:6" ht="20.100000000000001" customHeight="1" x14ac:dyDescent="0.2">
      <c r="B392"/>
      <c r="D392"/>
      <c r="F392"/>
    </row>
    <row r="393" spans="2:6" ht="20.100000000000001" customHeight="1" x14ac:dyDescent="0.2">
      <c r="B393"/>
      <c r="D393"/>
      <c r="F393"/>
    </row>
    <row r="394" spans="2:6" ht="20.100000000000001" customHeight="1" x14ac:dyDescent="0.2">
      <c r="B394"/>
      <c r="D394"/>
      <c r="F394"/>
    </row>
    <row r="395" spans="2:6" ht="20.100000000000001" customHeight="1" x14ac:dyDescent="0.2">
      <c r="B395"/>
      <c r="D395"/>
      <c r="F395"/>
    </row>
    <row r="396" spans="2:6" ht="20.100000000000001" customHeight="1" x14ac:dyDescent="0.2">
      <c r="B396"/>
      <c r="D396"/>
      <c r="F396"/>
    </row>
    <row r="397" spans="2:6" ht="20.100000000000001" customHeight="1" x14ac:dyDescent="0.2">
      <c r="B397"/>
      <c r="D397"/>
      <c r="F397"/>
    </row>
    <row r="398" spans="2:6" ht="20.100000000000001" customHeight="1" x14ac:dyDescent="0.2">
      <c r="B398"/>
      <c r="D398"/>
      <c r="F398"/>
    </row>
    <row r="399" spans="2:6" ht="20.100000000000001" customHeight="1" x14ac:dyDescent="0.2">
      <c r="B399"/>
      <c r="D399"/>
      <c r="F399"/>
    </row>
    <row r="400" spans="2:6" ht="20.100000000000001" customHeight="1" x14ac:dyDescent="0.2">
      <c r="B400"/>
      <c r="D400"/>
      <c r="F400"/>
    </row>
    <row r="401" spans="2:6" ht="20.100000000000001" customHeight="1" x14ac:dyDescent="0.2">
      <c r="B401"/>
      <c r="D401"/>
      <c r="F401"/>
    </row>
    <row r="402" spans="2:6" ht="20.100000000000001" customHeight="1" x14ac:dyDescent="0.2">
      <c r="B402"/>
      <c r="D402"/>
      <c r="F402"/>
    </row>
    <row r="403" spans="2:6" ht="20.100000000000001" customHeight="1" x14ac:dyDescent="0.2">
      <c r="B403"/>
      <c r="D403"/>
      <c r="F403"/>
    </row>
    <row r="404" spans="2:6" ht="20.100000000000001" customHeight="1" x14ac:dyDescent="0.2">
      <c r="B404"/>
      <c r="D404"/>
      <c r="F404"/>
    </row>
    <row r="405" spans="2:6" ht="20.100000000000001" customHeight="1" x14ac:dyDescent="0.2">
      <c r="B405"/>
      <c r="D405"/>
      <c r="F405"/>
    </row>
    <row r="406" spans="2:6" ht="20.100000000000001" customHeight="1" x14ac:dyDescent="0.2">
      <c r="B406"/>
      <c r="D406"/>
      <c r="F406"/>
    </row>
    <row r="407" spans="2:6" ht="20.100000000000001" customHeight="1" x14ac:dyDescent="0.2">
      <c r="B407"/>
      <c r="D407"/>
      <c r="F407"/>
    </row>
    <row r="408" spans="2:6" ht="20.100000000000001" customHeight="1" x14ac:dyDescent="0.2">
      <c r="B408"/>
      <c r="D408"/>
      <c r="F408"/>
    </row>
    <row r="409" spans="2:6" ht="20.100000000000001" customHeight="1" x14ac:dyDescent="0.2">
      <c r="B409"/>
      <c r="D409"/>
      <c r="F409"/>
    </row>
    <row r="410" spans="2:6" ht="20.100000000000001" customHeight="1" x14ac:dyDescent="0.2">
      <c r="B410"/>
      <c r="D410"/>
      <c r="F410"/>
    </row>
    <row r="411" spans="2:6" ht="20.100000000000001" customHeight="1" x14ac:dyDescent="0.2">
      <c r="B411"/>
      <c r="D411"/>
      <c r="F411"/>
    </row>
    <row r="412" spans="2:6" ht="20.100000000000001" customHeight="1" x14ac:dyDescent="0.2">
      <c r="B412"/>
      <c r="D412"/>
      <c r="F412"/>
    </row>
    <row r="413" spans="2:6" ht="20.100000000000001" customHeight="1" x14ac:dyDescent="0.2">
      <c r="B413"/>
      <c r="D413"/>
      <c r="F413"/>
    </row>
    <row r="414" spans="2:6" ht="20.100000000000001" customHeight="1" x14ac:dyDescent="0.2">
      <c r="B414"/>
      <c r="D414"/>
      <c r="F414"/>
    </row>
    <row r="415" spans="2:6" ht="20.100000000000001" customHeight="1" x14ac:dyDescent="0.2">
      <c r="B415"/>
      <c r="D415"/>
      <c r="F415"/>
    </row>
    <row r="416" spans="2:6" ht="20.100000000000001" customHeight="1" x14ac:dyDescent="0.2">
      <c r="B416"/>
      <c r="D416"/>
      <c r="F416"/>
    </row>
    <row r="417" spans="2:6" ht="20.100000000000001" customHeight="1" x14ac:dyDescent="0.2">
      <c r="B417"/>
      <c r="D417"/>
      <c r="F417"/>
    </row>
    <row r="418" spans="2:6" ht="20.100000000000001" customHeight="1" x14ac:dyDescent="0.2">
      <c r="B418"/>
      <c r="D418"/>
      <c r="F418"/>
    </row>
    <row r="419" spans="2:6" ht="20.100000000000001" customHeight="1" x14ac:dyDescent="0.2">
      <c r="B419"/>
      <c r="D419"/>
      <c r="F419"/>
    </row>
    <row r="420" spans="2:6" ht="20.100000000000001" customHeight="1" x14ac:dyDescent="0.2">
      <c r="B420"/>
      <c r="D420"/>
      <c r="F420"/>
    </row>
    <row r="421" spans="2:6" ht="20.100000000000001" customHeight="1" x14ac:dyDescent="0.2">
      <c r="B421"/>
      <c r="D421"/>
      <c r="F421"/>
    </row>
    <row r="422" spans="2:6" ht="20.100000000000001" customHeight="1" x14ac:dyDescent="0.2">
      <c r="B422"/>
      <c r="D422"/>
      <c r="F422"/>
    </row>
    <row r="423" spans="2:6" ht="20.100000000000001" customHeight="1" x14ac:dyDescent="0.2">
      <c r="B423"/>
      <c r="D423"/>
      <c r="F423"/>
    </row>
    <row r="424" spans="2:6" ht="20.100000000000001" customHeight="1" x14ac:dyDescent="0.2">
      <c r="B424"/>
      <c r="D424"/>
      <c r="F424"/>
    </row>
    <row r="425" spans="2:6" ht="20.100000000000001" customHeight="1" x14ac:dyDescent="0.2">
      <c r="B425"/>
      <c r="D425"/>
      <c r="F425"/>
    </row>
    <row r="426" spans="2:6" ht="20.100000000000001" customHeight="1" x14ac:dyDescent="0.2">
      <c r="B426"/>
      <c r="D426"/>
      <c r="F426"/>
    </row>
    <row r="427" spans="2:6" ht="20.100000000000001" customHeight="1" x14ac:dyDescent="0.2">
      <c r="B427"/>
      <c r="D427"/>
      <c r="F427"/>
    </row>
    <row r="428" spans="2:6" ht="20.100000000000001" customHeight="1" x14ac:dyDescent="0.2">
      <c r="B428"/>
      <c r="D428"/>
      <c r="F428"/>
    </row>
    <row r="429" spans="2:6" ht="20.100000000000001" customHeight="1" x14ac:dyDescent="0.2">
      <c r="B429"/>
      <c r="D429"/>
      <c r="F429"/>
    </row>
    <row r="430" spans="2:6" ht="20.100000000000001" customHeight="1" x14ac:dyDescent="0.2">
      <c r="B430"/>
      <c r="D430"/>
      <c r="F430"/>
    </row>
    <row r="431" spans="2:6" ht="20.100000000000001" customHeight="1" x14ac:dyDescent="0.2">
      <c r="B431"/>
      <c r="D431"/>
      <c r="F431"/>
    </row>
    <row r="432" spans="2:6" ht="20.100000000000001" customHeight="1" x14ac:dyDescent="0.2">
      <c r="B432"/>
      <c r="D432"/>
      <c r="F432"/>
    </row>
    <row r="433" spans="2:6" ht="20.100000000000001" customHeight="1" x14ac:dyDescent="0.2">
      <c r="B433"/>
      <c r="D433"/>
      <c r="F433"/>
    </row>
    <row r="434" spans="2:6" ht="20.100000000000001" customHeight="1" x14ac:dyDescent="0.2">
      <c r="B434"/>
      <c r="D434"/>
      <c r="F434"/>
    </row>
    <row r="435" spans="2:6" ht="20.100000000000001" customHeight="1" x14ac:dyDescent="0.2">
      <c r="B435"/>
      <c r="D435"/>
      <c r="F435"/>
    </row>
    <row r="436" spans="2:6" ht="20.100000000000001" customHeight="1" x14ac:dyDescent="0.2">
      <c r="B436"/>
      <c r="D436"/>
      <c r="F436"/>
    </row>
    <row r="437" spans="2:6" ht="20.100000000000001" customHeight="1" x14ac:dyDescent="0.2">
      <c r="B437"/>
      <c r="D437"/>
      <c r="F437"/>
    </row>
    <row r="438" spans="2:6" ht="20.100000000000001" customHeight="1" x14ac:dyDescent="0.2">
      <c r="B438"/>
      <c r="D438"/>
      <c r="F438"/>
    </row>
    <row r="439" spans="2:6" ht="20.100000000000001" customHeight="1" x14ac:dyDescent="0.2">
      <c r="B439"/>
      <c r="D439"/>
      <c r="F439"/>
    </row>
    <row r="440" spans="2:6" ht="20.100000000000001" customHeight="1" x14ac:dyDescent="0.2">
      <c r="B440"/>
      <c r="D440"/>
      <c r="F440"/>
    </row>
    <row r="441" spans="2:6" ht="20.100000000000001" customHeight="1" x14ac:dyDescent="0.2">
      <c r="B441"/>
      <c r="D441"/>
      <c r="F441"/>
    </row>
    <row r="442" spans="2:6" ht="20.100000000000001" customHeight="1" x14ac:dyDescent="0.2">
      <c r="B442"/>
      <c r="D442"/>
      <c r="F442"/>
    </row>
    <row r="443" spans="2:6" ht="20.100000000000001" customHeight="1" x14ac:dyDescent="0.2">
      <c r="B443"/>
      <c r="D443"/>
      <c r="F443"/>
    </row>
    <row r="444" spans="2:6" ht="20.100000000000001" customHeight="1" x14ac:dyDescent="0.2">
      <c r="B444"/>
      <c r="D444"/>
      <c r="F444"/>
    </row>
    <row r="445" spans="2:6" ht="20.100000000000001" customHeight="1" x14ac:dyDescent="0.2">
      <c r="B445"/>
      <c r="D445"/>
      <c r="F445"/>
    </row>
    <row r="446" spans="2:6" ht="20.100000000000001" customHeight="1" x14ac:dyDescent="0.2">
      <c r="B446"/>
      <c r="D446"/>
      <c r="F446"/>
    </row>
    <row r="447" spans="2:6" ht="20.100000000000001" customHeight="1" x14ac:dyDescent="0.2">
      <c r="B447"/>
      <c r="D447"/>
      <c r="F447"/>
    </row>
    <row r="448" spans="2:6" ht="20.100000000000001" customHeight="1" x14ac:dyDescent="0.2">
      <c r="B448"/>
      <c r="D448"/>
      <c r="F448"/>
    </row>
    <row r="449" spans="2:6" ht="20.100000000000001" customHeight="1" x14ac:dyDescent="0.2">
      <c r="B449"/>
      <c r="D449"/>
      <c r="F449"/>
    </row>
    <row r="450" spans="2:6" ht="20.100000000000001" customHeight="1" x14ac:dyDescent="0.2">
      <c r="B450"/>
      <c r="D450"/>
      <c r="F450"/>
    </row>
    <row r="451" spans="2:6" ht="20.100000000000001" customHeight="1" x14ac:dyDescent="0.2">
      <c r="B451"/>
      <c r="D451"/>
      <c r="F451"/>
    </row>
    <row r="452" spans="2:6" ht="20.100000000000001" customHeight="1" x14ac:dyDescent="0.2">
      <c r="B452"/>
      <c r="D452"/>
      <c r="F452"/>
    </row>
    <row r="453" spans="2:6" ht="20.100000000000001" customHeight="1" x14ac:dyDescent="0.2">
      <c r="B453"/>
      <c r="D453"/>
      <c r="F453"/>
    </row>
    <row r="454" spans="2:6" ht="20.100000000000001" customHeight="1" x14ac:dyDescent="0.2">
      <c r="B454"/>
      <c r="D454"/>
      <c r="F454"/>
    </row>
    <row r="455" spans="2:6" ht="20.100000000000001" customHeight="1" x14ac:dyDescent="0.2">
      <c r="B455"/>
      <c r="D455"/>
      <c r="F455"/>
    </row>
    <row r="456" spans="2:6" ht="20.100000000000001" customHeight="1" x14ac:dyDescent="0.2">
      <c r="B456"/>
      <c r="D456"/>
      <c r="F456"/>
    </row>
    <row r="457" spans="2:6" ht="20.100000000000001" customHeight="1" x14ac:dyDescent="0.2">
      <c r="B457"/>
      <c r="D457"/>
      <c r="F457"/>
    </row>
    <row r="458" spans="2:6" ht="20.100000000000001" customHeight="1" x14ac:dyDescent="0.2">
      <c r="B458"/>
      <c r="D458"/>
      <c r="F458"/>
    </row>
    <row r="459" spans="2:6" ht="20.100000000000001" customHeight="1" x14ac:dyDescent="0.2">
      <c r="B459"/>
      <c r="D459"/>
      <c r="F459"/>
    </row>
    <row r="460" spans="2:6" ht="20.100000000000001" customHeight="1" x14ac:dyDescent="0.2">
      <c r="B460"/>
      <c r="D460"/>
      <c r="F460"/>
    </row>
    <row r="461" spans="2:6" ht="20.100000000000001" customHeight="1" x14ac:dyDescent="0.2">
      <c r="B461"/>
      <c r="D461"/>
      <c r="F461"/>
    </row>
    <row r="462" spans="2:6" ht="20.100000000000001" customHeight="1" x14ac:dyDescent="0.2">
      <c r="B462"/>
      <c r="D462"/>
      <c r="F462"/>
    </row>
    <row r="463" spans="2:6" ht="20.100000000000001" customHeight="1" x14ac:dyDescent="0.2">
      <c r="B463"/>
      <c r="D463"/>
      <c r="F463"/>
    </row>
    <row r="464" spans="2:6" ht="20.100000000000001" customHeight="1" x14ac:dyDescent="0.2">
      <c r="B464"/>
      <c r="D464"/>
      <c r="F464"/>
    </row>
    <row r="465" spans="2:6" ht="20.100000000000001" customHeight="1" x14ac:dyDescent="0.2">
      <c r="B465"/>
      <c r="D465"/>
      <c r="F465"/>
    </row>
    <row r="466" spans="2:6" ht="20.100000000000001" customHeight="1" x14ac:dyDescent="0.2">
      <c r="B466"/>
      <c r="D466"/>
      <c r="F466"/>
    </row>
    <row r="467" spans="2:6" ht="20.100000000000001" customHeight="1" x14ac:dyDescent="0.2">
      <c r="B467"/>
      <c r="D467"/>
      <c r="F467"/>
    </row>
    <row r="468" spans="2:6" ht="20.100000000000001" customHeight="1" x14ac:dyDescent="0.2">
      <c r="B468"/>
      <c r="D468"/>
      <c r="F468"/>
    </row>
    <row r="469" spans="2:6" ht="20.100000000000001" customHeight="1" x14ac:dyDescent="0.2">
      <c r="B469"/>
      <c r="D469"/>
      <c r="F469"/>
    </row>
    <row r="470" spans="2:6" ht="20.100000000000001" customHeight="1" x14ac:dyDescent="0.2">
      <c r="B470"/>
      <c r="D470"/>
      <c r="F470"/>
    </row>
    <row r="471" spans="2:6" ht="20.100000000000001" customHeight="1" x14ac:dyDescent="0.2">
      <c r="B471"/>
      <c r="D471"/>
      <c r="F471"/>
    </row>
    <row r="472" spans="2:6" ht="20.100000000000001" customHeight="1" x14ac:dyDescent="0.2">
      <c r="B472"/>
      <c r="D472"/>
      <c r="F472"/>
    </row>
    <row r="473" spans="2:6" ht="20.100000000000001" customHeight="1" x14ac:dyDescent="0.2">
      <c r="B473"/>
      <c r="D473"/>
      <c r="F473"/>
    </row>
    <row r="474" spans="2:6" ht="20.100000000000001" customHeight="1" x14ac:dyDescent="0.2">
      <c r="B474"/>
      <c r="D474"/>
      <c r="F474"/>
    </row>
    <row r="475" spans="2:6" ht="20.100000000000001" customHeight="1" x14ac:dyDescent="0.2">
      <c r="B475"/>
      <c r="D475"/>
      <c r="F475"/>
    </row>
    <row r="476" spans="2:6" ht="20.100000000000001" customHeight="1" x14ac:dyDescent="0.2">
      <c r="B476"/>
      <c r="D476"/>
      <c r="F476"/>
    </row>
    <row r="477" spans="2:6" ht="20.100000000000001" customHeight="1" x14ac:dyDescent="0.2">
      <c r="B477"/>
      <c r="D477"/>
      <c r="F477"/>
    </row>
    <row r="478" spans="2:6" ht="20.100000000000001" customHeight="1" x14ac:dyDescent="0.2">
      <c r="B478"/>
      <c r="D478"/>
      <c r="F478"/>
    </row>
    <row r="479" spans="2:6" ht="20.100000000000001" customHeight="1" x14ac:dyDescent="0.2">
      <c r="B479"/>
      <c r="D479"/>
      <c r="F479"/>
    </row>
    <row r="480" spans="2:6" ht="20.100000000000001" customHeight="1" x14ac:dyDescent="0.2">
      <c r="B480"/>
      <c r="D480"/>
      <c r="F480"/>
    </row>
    <row r="481" spans="2:6" ht="20.100000000000001" customHeight="1" x14ac:dyDescent="0.2">
      <c r="B481"/>
      <c r="D481"/>
      <c r="F481"/>
    </row>
    <row r="482" spans="2:6" ht="20.100000000000001" customHeight="1" x14ac:dyDescent="0.2">
      <c r="B482"/>
      <c r="D482"/>
      <c r="F482"/>
    </row>
    <row r="483" spans="2:6" ht="20.100000000000001" customHeight="1" x14ac:dyDescent="0.2">
      <c r="B483"/>
      <c r="D483"/>
      <c r="F483"/>
    </row>
    <row r="484" spans="2:6" ht="20.100000000000001" customHeight="1" x14ac:dyDescent="0.2">
      <c r="B484"/>
      <c r="D484"/>
      <c r="F484"/>
    </row>
    <row r="485" spans="2:6" ht="20.100000000000001" customHeight="1" x14ac:dyDescent="0.2">
      <c r="B485"/>
      <c r="D485"/>
      <c r="F485"/>
    </row>
    <row r="486" spans="2:6" ht="20.100000000000001" customHeight="1" x14ac:dyDescent="0.2">
      <c r="B486"/>
      <c r="D486"/>
      <c r="F486"/>
    </row>
    <row r="487" spans="2:6" ht="20.100000000000001" customHeight="1" x14ac:dyDescent="0.2">
      <c r="B487"/>
      <c r="D487"/>
      <c r="F487"/>
    </row>
    <row r="488" spans="2:6" ht="20.100000000000001" customHeight="1" x14ac:dyDescent="0.2">
      <c r="B488"/>
      <c r="D488"/>
      <c r="F488"/>
    </row>
    <row r="489" spans="2:6" ht="20.100000000000001" customHeight="1" x14ac:dyDescent="0.2">
      <c r="B489"/>
      <c r="D489"/>
      <c r="F489"/>
    </row>
    <row r="490" spans="2:6" ht="20.100000000000001" customHeight="1" x14ac:dyDescent="0.2">
      <c r="B490"/>
      <c r="D490"/>
      <c r="F490"/>
    </row>
    <row r="491" spans="2:6" ht="20.100000000000001" customHeight="1" x14ac:dyDescent="0.2">
      <c r="B491"/>
      <c r="D491"/>
      <c r="F491"/>
    </row>
    <row r="492" spans="2:6" ht="20.100000000000001" customHeight="1" x14ac:dyDescent="0.2">
      <c r="B492"/>
      <c r="D492"/>
      <c r="F492"/>
    </row>
    <row r="493" spans="2:6" ht="20.100000000000001" customHeight="1" x14ac:dyDescent="0.2">
      <c r="B493"/>
      <c r="D493"/>
      <c r="F493"/>
    </row>
    <row r="494" spans="2:6" ht="20.100000000000001" customHeight="1" x14ac:dyDescent="0.2">
      <c r="B494"/>
      <c r="D494"/>
      <c r="F494"/>
    </row>
    <row r="495" spans="2:6" ht="20.100000000000001" customHeight="1" x14ac:dyDescent="0.2">
      <c r="B495"/>
      <c r="D495"/>
      <c r="F495"/>
    </row>
    <row r="496" spans="2:6" ht="20.100000000000001" customHeight="1" x14ac:dyDescent="0.2">
      <c r="B496"/>
      <c r="D496"/>
      <c r="F496"/>
    </row>
    <row r="497" spans="2:6" ht="20.100000000000001" customHeight="1" x14ac:dyDescent="0.2">
      <c r="B497"/>
      <c r="D497"/>
      <c r="F497"/>
    </row>
    <row r="498" spans="2:6" ht="20.100000000000001" customHeight="1" x14ac:dyDescent="0.2">
      <c r="B498"/>
      <c r="D498"/>
      <c r="F498"/>
    </row>
    <row r="499" spans="2:6" ht="20.100000000000001" customHeight="1" x14ac:dyDescent="0.2">
      <c r="B499"/>
      <c r="D499"/>
      <c r="F499"/>
    </row>
    <row r="500" spans="2:6" ht="20.100000000000001" customHeight="1" x14ac:dyDescent="0.2">
      <c r="B500"/>
      <c r="D500"/>
      <c r="F500"/>
    </row>
    <row r="501" spans="2:6" ht="20.100000000000001" customHeight="1" x14ac:dyDescent="0.2">
      <c r="B501"/>
      <c r="D501"/>
      <c r="F501"/>
    </row>
    <row r="502" spans="2:6" ht="20.100000000000001" customHeight="1" x14ac:dyDescent="0.2">
      <c r="B502"/>
      <c r="D502"/>
      <c r="F502"/>
    </row>
    <row r="503" spans="2:6" ht="20.100000000000001" customHeight="1" x14ac:dyDescent="0.2">
      <c r="B503"/>
      <c r="D503"/>
      <c r="F503"/>
    </row>
    <row r="504" spans="2:6" ht="20.100000000000001" customHeight="1" x14ac:dyDescent="0.2">
      <c r="B504"/>
      <c r="D504"/>
      <c r="F504"/>
    </row>
    <row r="505" spans="2:6" ht="20.100000000000001" customHeight="1" x14ac:dyDescent="0.2">
      <c r="B505"/>
      <c r="D505"/>
      <c r="F505"/>
    </row>
    <row r="506" spans="2:6" ht="20.100000000000001" customHeight="1" x14ac:dyDescent="0.2">
      <c r="B506"/>
      <c r="D506"/>
      <c r="F506"/>
    </row>
    <row r="507" spans="2:6" ht="20.100000000000001" customHeight="1" x14ac:dyDescent="0.2">
      <c r="B507"/>
      <c r="D507"/>
      <c r="F507"/>
    </row>
    <row r="508" spans="2:6" ht="20.100000000000001" customHeight="1" x14ac:dyDescent="0.2">
      <c r="B508"/>
      <c r="D508"/>
      <c r="F508"/>
    </row>
    <row r="509" spans="2:6" ht="20.100000000000001" customHeight="1" x14ac:dyDescent="0.2">
      <c r="B509"/>
      <c r="D509"/>
      <c r="F509"/>
    </row>
    <row r="510" spans="2:6" ht="20.100000000000001" customHeight="1" x14ac:dyDescent="0.2">
      <c r="B510"/>
      <c r="D510"/>
      <c r="F510"/>
    </row>
    <row r="511" spans="2:6" ht="20.100000000000001" customHeight="1" x14ac:dyDescent="0.2">
      <c r="B511"/>
      <c r="D511"/>
      <c r="F511"/>
    </row>
    <row r="512" spans="2:6" ht="20.100000000000001" customHeight="1" x14ac:dyDescent="0.2">
      <c r="B512"/>
      <c r="D512"/>
      <c r="F512"/>
    </row>
    <row r="513" spans="2:6" ht="20.100000000000001" customHeight="1" x14ac:dyDescent="0.2">
      <c r="B513"/>
      <c r="D513"/>
      <c r="F513"/>
    </row>
    <row r="514" spans="2:6" ht="20.100000000000001" customHeight="1" x14ac:dyDescent="0.2">
      <c r="B514"/>
      <c r="D514"/>
      <c r="F514"/>
    </row>
    <row r="515" spans="2:6" ht="20.100000000000001" customHeight="1" x14ac:dyDescent="0.2">
      <c r="B515"/>
      <c r="D515"/>
      <c r="F515"/>
    </row>
    <row r="516" spans="2:6" ht="20.100000000000001" customHeight="1" x14ac:dyDescent="0.2">
      <c r="B516"/>
      <c r="D516"/>
      <c r="F516"/>
    </row>
    <row r="517" spans="2:6" ht="20.100000000000001" customHeight="1" x14ac:dyDescent="0.2">
      <c r="B517"/>
      <c r="D517"/>
      <c r="F517"/>
    </row>
    <row r="518" spans="2:6" ht="20.100000000000001" customHeight="1" x14ac:dyDescent="0.2">
      <c r="B518"/>
      <c r="D518"/>
      <c r="F518"/>
    </row>
    <row r="519" spans="2:6" ht="20.100000000000001" customHeight="1" x14ac:dyDescent="0.2">
      <c r="B519"/>
      <c r="D519"/>
      <c r="F519"/>
    </row>
    <row r="520" spans="2:6" ht="20.100000000000001" customHeight="1" x14ac:dyDescent="0.2">
      <c r="B520"/>
      <c r="D520"/>
      <c r="F520"/>
    </row>
    <row r="521" spans="2:6" ht="20.100000000000001" customHeight="1" x14ac:dyDescent="0.2">
      <c r="B521"/>
      <c r="D521"/>
      <c r="F521"/>
    </row>
    <row r="522" spans="2:6" ht="20.100000000000001" customHeight="1" x14ac:dyDescent="0.2">
      <c r="B522"/>
      <c r="D522"/>
      <c r="F522"/>
    </row>
    <row r="523" spans="2:6" ht="20.100000000000001" customHeight="1" x14ac:dyDescent="0.2">
      <c r="B523"/>
      <c r="D523"/>
      <c r="F523"/>
    </row>
    <row r="524" spans="2:6" ht="20.100000000000001" customHeight="1" x14ac:dyDescent="0.2">
      <c r="B524"/>
      <c r="D524"/>
      <c r="F524"/>
    </row>
    <row r="525" spans="2:6" ht="20.100000000000001" customHeight="1" x14ac:dyDescent="0.2">
      <c r="B525"/>
      <c r="D525"/>
      <c r="F525"/>
    </row>
    <row r="526" spans="2:6" ht="20.100000000000001" customHeight="1" x14ac:dyDescent="0.2">
      <c r="B526"/>
      <c r="D526"/>
      <c r="F526"/>
    </row>
    <row r="527" spans="2:6" ht="20.100000000000001" customHeight="1" x14ac:dyDescent="0.2">
      <c r="B527"/>
      <c r="D527"/>
      <c r="F527"/>
    </row>
    <row r="528" spans="2:6" ht="20.100000000000001" customHeight="1" x14ac:dyDescent="0.2">
      <c r="B528"/>
      <c r="D528"/>
      <c r="F528"/>
    </row>
    <row r="529" spans="2:6" ht="20.100000000000001" customHeight="1" x14ac:dyDescent="0.2">
      <c r="B529"/>
      <c r="D529"/>
      <c r="F529"/>
    </row>
    <row r="530" spans="2:6" ht="20.100000000000001" customHeight="1" x14ac:dyDescent="0.2">
      <c r="B530"/>
      <c r="D530"/>
      <c r="F530"/>
    </row>
    <row r="531" spans="2:6" ht="20.100000000000001" customHeight="1" x14ac:dyDescent="0.2">
      <c r="B531"/>
      <c r="D531"/>
      <c r="F531"/>
    </row>
    <row r="532" spans="2:6" ht="20.100000000000001" customHeight="1" x14ac:dyDescent="0.2">
      <c r="B532"/>
      <c r="D532"/>
      <c r="F532"/>
    </row>
    <row r="533" spans="2:6" ht="20.100000000000001" customHeight="1" x14ac:dyDescent="0.2">
      <c r="B533"/>
      <c r="D533"/>
      <c r="F533"/>
    </row>
    <row r="534" spans="2:6" ht="20.100000000000001" customHeight="1" x14ac:dyDescent="0.2">
      <c r="B534"/>
      <c r="D534"/>
      <c r="F534"/>
    </row>
    <row r="535" spans="2:6" ht="20.100000000000001" customHeight="1" x14ac:dyDescent="0.2">
      <c r="B535"/>
      <c r="D535"/>
      <c r="F535"/>
    </row>
    <row r="536" spans="2:6" ht="20.100000000000001" customHeight="1" x14ac:dyDescent="0.2">
      <c r="B536"/>
      <c r="D536"/>
      <c r="F536"/>
    </row>
    <row r="537" spans="2:6" ht="20.100000000000001" customHeight="1" x14ac:dyDescent="0.2">
      <c r="B537"/>
      <c r="D537"/>
      <c r="F537"/>
    </row>
    <row r="538" spans="2:6" ht="20.100000000000001" customHeight="1" x14ac:dyDescent="0.2">
      <c r="B538"/>
      <c r="D538"/>
      <c r="F538"/>
    </row>
    <row r="539" spans="2:6" ht="20.100000000000001" customHeight="1" x14ac:dyDescent="0.2">
      <c r="B539"/>
      <c r="D539"/>
      <c r="F539"/>
    </row>
    <row r="540" spans="2:6" ht="20.100000000000001" customHeight="1" x14ac:dyDescent="0.2">
      <c r="B540"/>
      <c r="D540"/>
      <c r="F540"/>
    </row>
    <row r="541" spans="2:6" ht="20.100000000000001" customHeight="1" x14ac:dyDescent="0.2">
      <c r="B541"/>
      <c r="D541"/>
      <c r="F541"/>
    </row>
    <row r="542" spans="2:6" ht="20.100000000000001" customHeight="1" x14ac:dyDescent="0.2">
      <c r="B542"/>
      <c r="D542"/>
      <c r="F542"/>
    </row>
    <row r="543" spans="2:6" ht="20.100000000000001" customHeight="1" x14ac:dyDescent="0.2">
      <c r="B543"/>
      <c r="D543"/>
      <c r="F543"/>
    </row>
    <row r="544" spans="2:6" ht="20.100000000000001" customHeight="1" x14ac:dyDescent="0.2">
      <c r="B544"/>
      <c r="D544"/>
      <c r="F544"/>
    </row>
    <row r="545" spans="2:6" ht="20.100000000000001" customHeight="1" x14ac:dyDescent="0.2">
      <c r="B545"/>
      <c r="D545"/>
      <c r="F545"/>
    </row>
    <row r="546" spans="2:6" ht="20.100000000000001" customHeight="1" x14ac:dyDescent="0.2">
      <c r="B546"/>
      <c r="D546"/>
      <c r="F546"/>
    </row>
    <row r="547" spans="2:6" ht="20.100000000000001" customHeight="1" x14ac:dyDescent="0.2">
      <c r="B547"/>
      <c r="D547"/>
      <c r="F547"/>
    </row>
    <row r="548" spans="2:6" ht="20.100000000000001" customHeight="1" x14ac:dyDescent="0.2">
      <c r="B548"/>
      <c r="D548"/>
      <c r="F548"/>
    </row>
    <row r="549" spans="2:6" ht="20.100000000000001" customHeight="1" x14ac:dyDescent="0.2">
      <c r="B549"/>
      <c r="D549"/>
      <c r="F549"/>
    </row>
    <row r="550" spans="2:6" ht="20.100000000000001" customHeight="1" x14ac:dyDescent="0.2">
      <c r="B550"/>
      <c r="D550"/>
      <c r="F550"/>
    </row>
    <row r="551" spans="2:6" ht="20.100000000000001" customHeight="1" x14ac:dyDescent="0.2">
      <c r="B551"/>
      <c r="D551"/>
      <c r="F551"/>
    </row>
    <row r="552" spans="2:6" ht="20.100000000000001" customHeight="1" x14ac:dyDescent="0.2">
      <c r="B552"/>
      <c r="D552"/>
      <c r="F552"/>
    </row>
    <row r="553" spans="2:6" ht="20.100000000000001" customHeight="1" x14ac:dyDescent="0.2">
      <c r="B553"/>
      <c r="D553"/>
      <c r="F553"/>
    </row>
    <row r="554" spans="2:6" ht="20.100000000000001" customHeight="1" x14ac:dyDescent="0.2">
      <c r="B554"/>
      <c r="D554"/>
      <c r="F554"/>
    </row>
    <row r="555" spans="2:6" ht="20.100000000000001" customHeight="1" x14ac:dyDescent="0.2">
      <c r="B555"/>
      <c r="D555"/>
      <c r="F555"/>
    </row>
    <row r="556" spans="2:6" ht="20.100000000000001" customHeight="1" x14ac:dyDescent="0.2">
      <c r="B556"/>
      <c r="D556"/>
      <c r="F556"/>
    </row>
    <row r="557" spans="2:6" ht="20.100000000000001" customHeight="1" x14ac:dyDescent="0.2">
      <c r="B557"/>
      <c r="D557"/>
      <c r="F557"/>
    </row>
    <row r="558" spans="2:6" ht="20.100000000000001" customHeight="1" x14ac:dyDescent="0.2">
      <c r="B558"/>
      <c r="D558"/>
      <c r="F558"/>
    </row>
    <row r="559" spans="2:6" ht="20.100000000000001" customHeight="1" x14ac:dyDescent="0.2">
      <c r="B559"/>
      <c r="D559"/>
      <c r="F559"/>
    </row>
    <row r="560" spans="2:6" ht="20.100000000000001" customHeight="1" x14ac:dyDescent="0.2">
      <c r="B560"/>
      <c r="D560"/>
      <c r="F560"/>
    </row>
    <row r="561" spans="2:6" ht="20.100000000000001" customHeight="1" x14ac:dyDescent="0.2">
      <c r="B561"/>
      <c r="D561"/>
      <c r="F561"/>
    </row>
    <row r="562" spans="2:6" ht="20.100000000000001" customHeight="1" x14ac:dyDescent="0.2">
      <c r="B562"/>
      <c r="D562"/>
      <c r="F562"/>
    </row>
    <row r="563" spans="2:6" ht="20.100000000000001" customHeight="1" x14ac:dyDescent="0.2">
      <c r="B563"/>
      <c r="D563"/>
      <c r="F563"/>
    </row>
    <row r="564" spans="2:6" ht="20.100000000000001" customHeight="1" x14ac:dyDescent="0.2">
      <c r="B564"/>
      <c r="D564"/>
      <c r="F564"/>
    </row>
    <row r="565" spans="2:6" ht="20.100000000000001" customHeight="1" x14ac:dyDescent="0.2">
      <c r="B565"/>
      <c r="D565"/>
      <c r="F565"/>
    </row>
    <row r="566" spans="2:6" ht="20.100000000000001" customHeight="1" x14ac:dyDescent="0.2">
      <c r="B566"/>
      <c r="D566"/>
      <c r="F566"/>
    </row>
    <row r="567" spans="2:6" ht="20.100000000000001" customHeight="1" x14ac:dyDescent="0.2">
      <c r="B567"/>
      <c r="D567"/>
      <c r="F567"/>
    </row>
    <row r="568" spans="2:6" ht="20.100000000000001" customHeight="1" x14ac:dyDescent="0.2">
      <c r="B568"/>
      <c r="D568"/>
      <c r="F568"/>
    </row>
    <row r="569" spans="2:6" ht="20.100000000000001" customHeight="1" x14ac:dyDescent="0.2">
      <c r="B569"/>
      <c r="D569"/>
      <c r="F569"/>
    </row>
    <row r="570" spans="2:6" ht="20.100000000000001" customHeight="1" x14ac:dyDescent="0.2">
      <c r="B570"/>
      <c r="D570"/>
      <c r="F570"/>
    </row>
    <row r="571" spans="2:6" ht="20.100000000000001" customHeight="1" x14ac:dyDescent="0.2">
      <c r="B571"/>
      <c r="D571"/>
      <c r="F571"/>
    </row>
    <row r="572" spans="2:6" ht="20.100000000000001" customHeight="1" x14ac:dyDescent="0.2">
      <c r="B572"/>
      <c r="D572"/>
      <c r="F572"/>
    </row>
    <row r="573" spans="2:6" ht="20.100000000000001" customHeight="1" x14ac:dyDescent="0.2">
      <c r="B573"/>
      <c r="D573"/>
      <c r="F573"/>
    </row>
    <row r="574" spans="2:6" ht="20.100000000000001" customHeight="1" x14ac:dyDescent="0.2">
      <c r="B574"/>
      <c r="D574"/>
      <c r="F574"/>
    </row>
    <row r="575" spans="2:6" ht="20.100000000000001" customHeight="1" x14ac:dyDescent="0.2">
      <c r="B575"/>
      <c r="D575"/>
      <c r="F575"/>
    </row>
    <row r="576" spans="2:6" ht="20.100000000000001" customHeight="1" x14ac:dyDescent="0.2">
      <c r="B576"/>
      <c r="D576"/>
      <c r="F576"/>
    </row>
    <row r="577" spans="2:6" ht="20.100000000000001" customHeight="1" x14ac:dyDescent="0.2">
      <c r="B577"/>
      <c r="D577"/>
      <c r="F577"/>
    </row>
    <row r="578" spans="2:6" ht="20.100000000000001" customHeight="1" x14ac:dyDescent="0.2">
      <c r="B578"/>
      <c r="D578"/>
      <c r="F578"/>
    </row>
    <row r="579" spans="2:6" ht="20.100000000000001" customHeight="1" x14ac:dyDescent="0.2">
      <c r="B579"/>
      <c r="D579"/>
      <c r="F579"/>
    </row>
    <row r="580" spans="2:6" ht="20.100000000000001" customHeight="1" x14ac:dyDescent="0.2">
      <c r="B580"/>
      <c r="D580"/>
      <c r="F580"/>
    </row>
    <row r="581" spans="2:6" ht="20.100000000000001" customHeight="1" x14ac:dyDescent="0.2">
      <c r="B581"/>
      <c r="D581"/>
      <c r="F581"/>
    </row>
    <row r="582" spans="2:6" ht="20.100000000000001" customHeight="1" x14ac:dyDescent="0.2">
      <c r="B582"/>
      <c r="D582"/>
      <c r="F582"/>
    </row>
    <row r="583" spans="2:6" ht="20.100000000000001" customHeight="1" x14ac:dyDescent="0.2">
      <c r="B583"/>
      <c r="D583"/>
      <c r="F583"/>
    </row>
    <row r="584" spans="2:6" ht="20.100000000000001" customHeight="1" x14ac:dyDescent="0.2">
      <c r="B584"/>
      <c r="D584"/>
      <c r="F584"/>
    </row>
    <row r="585" spans="2:6" ht="20.100000000000001" customHeight="1" x14ac:dyDescent="0.2">
      <c r="B585"/>
      <c r="D585"/>
      <c r="F585"/>
    </row>
    <row r="586" spans="2:6" ht="20.100000000000001" customHeight="1" x14ac:dyDescent="0.2">
      <c r="B586"/>
      <c r="D586"/>
      <c r="F586"/>
    </row>
    <row r="587" spans="2:6" ht="20.100000000000001" customHeight="1" x14ac:dyDescent="0.2">
      <c r="B587"/>
      <c r="D587"/>
      <c r="F587"/>
    </row>
    <row r="588" spans="2:6" ht="20.100000000000001" customHeight="1" x14ac:dyDescent="0.2">
      <c r="B588"/>
      <c r="D588"/>
      <c r="F588"/>
    </row>
    <row r="589" spans="2:6" ht="20.100000000000001" customHeight="1" x14ac:dyDescent="0.2">
      <c r="B589"/>
      <c r="D589"/>
      <c r="F589"/>
    </row>
    <row r="590" spans="2:6" ht="20.100000000000001" customHeight="1" x14ac:dyDescent="0.2">
      <c r="B590"/>
      <c r="D590"/>
      <c r="F590"/>
    </row>
    <row r="591" spans="2:6" ht="20.100000000000001" customHeight="1" x14ac:dyDescent="0.2">
      <c r="B591"/>
      <c r="D591"/>
      <c r="F591"/>
    </row>
    <row r="592" spans="2:6" ht="20.100000000000001" customHeight="1" x14ac:dyDescent="0.2">
      <c r="B592"/>
      <c r="D592"/>
      <c r="F592"/>
    </row>
    <row r="593" spans="2:6" ht="20.100000000000001" customHeight="1" x14ac:dyDescent="0.2">
      <c r="B593"/>
      <c r="D593"/>
      <c r="F593"/>
    </row>
    <row r="594" spans="2:6" ht="20.100000000000001" customHeight="1" x14ac:dyDescent="0.2">
      <c r="B594"/>
      <c r="D594"/>
      <c r="F594"/>
    </row>
    <row r="595" spans="2:6" ht="20.100000000000001" customHeight="1" x14ac:dyDescent="0.2">
      <c r="B595"/>
      <c r="D595"/>
      <c r="F595"/>
    </row>
    <row r="596" spans="2:6" ht="20.100000000000001" customHeight="1" x14ac:dyDescent="0.2">
      <c r="B596"/>
      <c r="D596"/>
      <c r="F596"/>
    </row>
    <row r="597" spans="2:6" ht="20.100000000000001" customHeight="1" x14ac:dyDescent="0.2">
      <c r="B597"/>
      <c r="D597"/>
      <c r="F597"/>
    </row>
    <row r="598" spans="2:6" ht="20.100000000000001" customHeight="1" x14ac:dyDescent="0.2">
      <c r="B598"/>
      <c r="D598"/>
      <c r="F598"/>
    </row>
    <row r="599" spans="2:6" ht="20.100000000000001" customHeight="1" x14ac:dyDescent="0.2">
      <c r="B599"/>
      <c r="D599"/>
      <c r="F599"/>
    </row>
    <row r="600" spans="2:6" ht="20.100000000000001" customHeight="1" x14ac:dyDescent="0.2">
      <c r="B600"/>
      <c r="D600"/>
      <c r="F600"/>
    </row>
    <row r="601" spans="2:6" ht="20.100000000000001" customHeight="1" x14ac:dyDescent="0.2">
      <c r="B601"/>
      <c r="D601"/>
      <c r="F601"/>
    </row>
    <row r="602" spans="2:6" ht="20.100000000000001" customHeight="1" x14ac:dyDescent="0.2">
      <c r="B602"/>
      <c r="D602"/>
      <c r="F602"/>
    </row>
    <row r="603" spans="2:6" ht="20.100000000000001" customHeight="1" x14ac:dyDescent="0.2">
      <c r="B603"/>
      <c r="D603"/>
      <c r="F603"/>
    </row>
    <row r="604" spans="2:6" ht="20.100000000000001" customHeight="1" x14ac:dyDescent="0.2">
      <c r="B604"/>
      <c r="D604"/>
      <c r="F604"/>
    </row>
    <row r="605" spans="2:6" ht="20.100000000000001" customHeight="1" x14ac:dyDescent="0.2">
      <c r="B605"/>
      <c r="D605"/>
      <c r="F605"/>
    </row>
    <row r="606" spans="2:6" ht="20.100000000000001" customHeight="1" x14ac:dyDescent="0.2">
      <c r="B606"/>
      <c r="D606"/>
      <c r="F606"/>
    </row>
    <row r="607" spans="2:6" ht="20.100000000000001" customHeight="1" x14ac:dyDescent="0.2">
      <c r="B607"/>
      <c r="D607"/>
      <c r="F607"/>
    </row>
    <row r="608" spans="2:6" ht="20.100000000000001" customHeight="1" x14ac:dyDescent="0.2">
      <c r="B608"/>
      <c r="D608"/>
      <c r="F608"/>
    </row>
    <row r="609" spans="2:6" ht="20.100000000000001" customHeight="1" x14ac:dyDescent="0.2">
      <c r="B609"/>
      <c r="D609"/>
      <c r="F609"/>
    </row>
    <row r="610" spans="2:6" ht="20.100000000000001" customHeight="1" x14ac:dyDescent="0.2">
      <c r="B610"/>
      <c r="D610"/>
      <c r="F610"/>
    </row>
    <row r="611" spans="2:6" ht="20.100000000000001" customHeight="1" x14ac:dyDescent="0.2">
      <c r="B611"/>
      <c r="D611"/>
      <c r="F611"/>
    </row>
    <row r="612" spans="2:6" ht="20.100000000000001" customHeight="1" x14ac:dyDescent="0.2">
      <c r="B612"/>
      <c r="D612"/>
      <c r="F612"/>
    </row>
    <row r="613" spans="2:6" ht="20.100000000000001" customHeight="1" x14ac:dyDescent="0.2">
      <c r="B613"/>
      <c r="D613"/>
      <c r="F613"/>
    </row>
    <row r="614" spans="2:6" ht="20.100000000000001" customHeight="1" x14ac:dyDescent="0.2">
      <c r="B614"/>
      <c r="D614"/>
      <c r="F614"/>
    </row>
    <row r="615" spans="2:6" ht="20.100000000000001" customHeight="1" x14ac:dyDescent="0.2">
      <c r="B615"/>
      <c r="D615"/>
      <c r="F615"/>
    </row>
    <row r="616" spans="2:6" ht="20.100000000000001" customHeight="1" x14ac:dyDescent="0.2">
      <c r="B616"/>
      <c r="D616"/>
      <c r="F616"/>
    </row>
    <row r="617" spans="2:6" ht="20.100000000000001" customHeight="1" x14ac:dyDescent="0.2">
      <c r="B617"/>
      <c r="D617"/>
      <c r="F617"/>
    </row>
    <row r="618" spans="2:6" ht="20.100000000000001" customHeight="1" x14ac:dyDescent="0.2">
      <c r="B618"/>
      <c r="D618"/>
      <c r="F618"/>
    </row>
    <row r="619" spans="2:6" ht="20.100000000000001" customHeight="1" x14ac:dyDescent="0.2">
      <c r="B619"/>
      <c r="D619"/>
      <c r="F619"/>
    </row>
    <row r="620" spans="2:6" ht="20.100000000000001" customHeight="1" x14ac:dyDescent="0.2">
      <c r="B620"/>
      <c r="D620"/>
      <c r="F620"/>
    </row>
    <row r="621" spans="2:6" ht="20.100000000000001" customHeight="1" x14ac:dyDescent="0.2">
      <c r="B621"/>
      <c r="D621"/>
      <c r="F621"/>
    </row>
    <row r="622" spans="2:6" ht="20.100000000000001" customHeight="1" x14ac:dyDescent="0.2">
      <c r="B622"/>
      <c r="D622"/>
      <c r="F622"/>
    </row>
    <row r="623" spans="2:6" ht="20.100000000000001" customHeight="1" x14ac:dyDescent="0.2">
      <c r="B623"/>
      <c r="D623"/>
      <c r="F623"/>
    </row>
    <row r="624" spans="2:6" ht="20.100000000000001" customHeight="1" x14ac:dyDescent="0.2">
      <c r="B624"/>
      <c r="D624"/>
      <c r="F624"/>
    </row>
    <row r="625" spans="2:6" ht="20.100000000000001" customHeight="1" x14ac:dyDescent="0.2">
      <c r="B625"/>
      <c r="D625"/>
      <c r="F625"/>
    </row>
    <row r="626" spans="2:6" ht="20.100000000000001" customHeight="1" x14ac:dyDescent="0.2">
      <c r="B626"/>
      <c r="D626"/>
      <c r="F626"/>
    </row>
    <row r="627" spans="2:6" ht="20.100000000000001" customHeight="1" x14ac:dyDescent="0.2">
      <c r="B627"/>
      <c r="D627"/>
      <c r="F627"/>
    </row>
    <row r="628" spans="2:6" ht="20.100000000000001" customHeight="1" x14ac:dyDescent="0.2">
      <c r="B628"/>
      <c r="D628"/>
      <c r="F628"/>
    </row>
    <row r="629" spans="2:6" ht="20.100000000000001" customHeight="1" x14ac:dyDescent="0.2">
      <c r="B629"/>
      <c r="D629"/>
      <c r="F629"/>
    </row>
    <row r="630" spans="2:6" ht="20.100000000000001" customHeight="1" x14ac:dyDescent="0.2">
      <c r="B630"/>
      <c r="D630"/>
      <c r="F630"/>
    </row>
    <row r="631" spans="2:6" ht="20.100000000000001" customHeight="1" x14ac:dyDescent="0.2">
      <c r="B631"/>
      <c r="D631"/>
      <c r="F631"/>
    </row>
    <row r="632" spans="2:6" ht="20.100000000000001" customHeight="1" x14ac:dyDescent="0.2">
      <c r="B632"/>
      <c r="D632"/>
      <c r="F632"/>
    </row>
    <row r="633" spans="2:6" ht="20.100000000000001" customHeight="1" x14ac:dyDescent="0.2">
      <c r="B633"/>
      <c r="D633"/>
      <c r="F633"/>
    </row>
    <row r="634" spans="2:6" ht="20.100000000000001" customHeight="1" x14ac:dyDescent="0.2">
      <c r="B634"/>
      <c r="D634"/>
      <c r="F634"/>
    </row>
    <row r="635" spans="2:6" ht="20.100000000000001" customHeight="1" x14ac:dyDescent="0.2">
      <c r="B635"/>
      <c r="D635"/>
      <c r="F635"/>
    </row>
    <row r="636" spans="2:6" ht="20.100000000000001" customHeight="1" x14ac:dyDescent="0.2">
      <c r="B636"/>
      <c r="D636"/>
      <c r="F636"/>
    </row>
    <row r="637" spans="2:6" ht="20.100000000000001" customHeight="1" x14ac:dyDescent="0.2">
      <c r="B637"/>
      <c r="D637"/>
      <c r="F637"/>
    </row>
    <row r="638" spans="2:6" ht="20.100000000000001" customHeight="1" x14ac:dyDescent="0.2">
      <c r="B638"/>
      <c r="D638"/>
      <c r="F638"/>
    </row>
    <row r="639" spans="2:6" ht="20.100000000000001" customHeight="1" x14ac:dyDescent="0.2">
      <c r="B639"/>
      <c r="D639"/>
      <c r="F639"/>
    </row>
    <row r="640" spans="2:6" ht="20.100000000000001" customHeight="1" x14ac:dyDescent="0.2">
      <c r="B640"/>
      <c r="D640"/>
      <c r="F640"/>
    </row>
    <row r="641" spans="2:6" ht="20.100000000000001" customHeight="1" x14ac:dyDescent="0.2">
      <c r="B641"/>
      <c r="D641"/>
      <c r="F641"/>
    </row>
    <row r="642" spans="2:6" ht="20.100000000000001" customHeight="1" x14ac:dyDescent="0.2">
      <c r="B642"/>
      <c r="D642"/>
      <c r="F642"/>
    </row>
    <row r="643" spans="2:6" ht="20.100000000000001" customHeight="1" x14ac:dyDescent="0.2">
      <c r="B643"/>
      <c r="D643"/>
      <c r="F643"/>
    </row>
    <row r="644" spans="2:6" ht="20.100000000000001" customHeight="1" x14ac:dyDescent="0.2">
      <c r="B644"/>
      <c r="D644"/>
      <c r="F644"/>
    </row>
    <row r="645" spans="2:6" ht="20.100000000000001" customHeight="1" x14ac:dyDescent="0.2">
      <c r="B645"/>
      <c r="D645"/>
      <c r="F645"/>
    </row>
    <row r="646" spans="2:6" ht="20.100000000000001" customHeight="1" x14ac:dyDescent="0.2">
      <c r="B646"/>
      <c r="D646"/>
      <c r="F646"/>
    </row>
    <row r="647" spans="2:6" ht="20.100000000000001" customHeight="1" x14ac:dyDescent="0.2">
      <c r="B647"/>
      <c r="D647"/>
      <c r="F647"/>
    </row>
    <row r="648" spans="2:6" ht="20.100000000000001" customHeight="1" x14ac:dyDescent="0.2">
      <c r="B648"/>
      <c r="D648"/>
      <c r="F648"/>
    </row>
    <row r="649" spans="2:6" ht="20.100000000000001" customHeight="1" x14ac:dyDescent="0.2">
      <c r="B649"/>
      <c r="D649"/>
      <c r="F649"/>
    </row>
    <row r="650" spans="2:6" ht="20.100000000000001" customHeight="1" x14ac:dyDescent="0.2">
      <c r="B650"/>
      <c r="D650"/>
      <c r="F650"/>
    </row>
    <row r="651" spans="2:6" ht="20.100000000000001" customHeight="1" x14ac:dyDescent="0.2">
      <c r="B651"/>
      <c r="D651"/>
      <c r="F651"/>
    </row>
    <row r="652" spans="2:6" ht="20.100000000000001" customHeight="1" x14ac:dyDescent="0.2">
      <c r="B652"/>
      <c r="D652"/>
      <c r="F652"/>
    </row>
    <row r="653" spans="2:6" ht="20.100000000000001" customHeight="1" x14ac:dyDescent="0.2">
      <c r="B653"/>
      <c r="D653"/>
      <c r="F653"/>
    </row>
    <row r="654" spans="2:6" ht="20.100000000000001" customHeight="1" x14ac:dyDescent="0.2">
      <c r="B654"/>
      <c r="D654"/>
      <c r="F654"/>
    </row>
    <row r="655" spans="2:6" ht="20.100000000000001" customHeight="1" x14ac:dyDescent="0.2">
      <c r="B655"/>
      <c r="D655"/>
      <c r="F655"/>
    </row>
    <row r="656" spans="2:6" ht="20.100000000000001" customHeight="1" x14ac:dyDescent="0.2">
      <c r="B656"/>
      <c r="D656"/>
      <c r="F656"/>
    </row>
    <row r="657" spans="2:6" ht="20.100000000000001" customHeight="1" x14ac:dyDescent="0.2">
      <c r="B657"/>
      <c r="D657"/>
      <c r="F657"/>
    </row>
    <row r="658" spans="2:6" ht="20.100000000000001" customHeight="1" x14ac:dyDescent="0.2">
      <c r="B658"/>
      <c r="D658"/>
      <c r="F658"/>
    </row>
    <row r="659" spans="2:6" ht="20.100000000000001" customHeight="1" x14ac:dyDescent="0.2">
      <c r="B659"/>
      <c r="D659"/>
      <c r="F659"/>
    </row>
    <row r="660" spans="2:6" ht="20.100000000000001" customHeight="1" x14ac:dyDescent="0.2">
      <c r="B660"/>
      <c r="D660"/>
      <c r="F660"/>
    </row>
    <row r="661" spans="2:6" ht="20.100000000000001" customHeight="1" x14ac:dyDescent="0.2">
      <c r="B661"/>
      <c r="D661"/>
      <c r="F661"/>
    </row>
    <row r="662" spans="2:6" ht="20.100000000000001" customHeight="1" x14ac:dyDescent="0.2">
      <c r="B662"/>
      <c r="D662"/>
      <c r="F662"/>
    </row>
    <row r="663" spans="2:6" ht="20.100000000000001" customHeight="1" x14ac:dyDescent="0.2">
      <c r="B663"/>
      <c r="D663"/>
      <c r="F663"/>
    </row>
    <row r="664" spans="2:6" ht="20.100000000000001" customHeight="1" x14ac:dyDescent="0.2">
      <c r="B664"/>
      <c r="D664"/>
      <c r="F664"/>
    </row>
    <row r="665" spans="2:6" ht="20.100000000000001" customHeight="1" x14ac:dyDescent="0.2">
      <c r="B665"/>
      <c r="D665"/>
      <c r="F665"/>
    </row>
    <row r="666" spans="2:6" ht="20.100000000000001" customHeight="1" x14ac:dyDescent="0.2">
      <c r="B666"/>
      <c r="D666"/>
      <c r="F666"/>
    </row>
    <row r="667" spans="2:6" ht="20.100000000000001" customHeight="1" x14ac:dyDescent="0.2">
      <c r="B667"/>
      <c r="D667"/>
      <c r="F667"/>
    </row>
    <row r="668" spans="2:6" ht="20.100000000000001" customHeight="1" x14ac:dyDescent="0.2">
      <c r="B668"/>
      <c r="D668"/>
      <c r="F668"/>
    </row>
    <row r="669" spans="2:6" ht="20.100000000000001" customHeight="1" x14ac:dyDescent="0.2">
      <c r="B669"/>
      <c r="D669"/>
      <c r="F669"/>
    </row>
    <row r="670" spans="2:6" ht="20.100000000000001" customHeight="1" x14ac:dyDescent="0.2">
      <c r="B670"/>
      <c r="D670"/>
      <c r="F670"/>
    </row>
    <row r="671" spans="2:6" ht="20.100000000000001" customHeight="1" x14ac:dyDescent="0.2">
      <c r="B671"/>
      <c r="D671"/>
      <c r="F671"/>
    </row>
    <row r="672" spans="2:6" ht="20.100000000000001" customHeight="1" x14ac:dyDescent="0.2">
      <c r="B672"/>
      <c r="D672"/>
      <c r="F672"/>
    </row>
    <row r="673" spans="2:6" ht="20.100000000000001" customHeight="1" x14ac:dyDescent="0.2">
      <c r="B673"/>
      <c r="D673"/>
      <c r="F673"/>
    </row>
    <row r="674" spans="2:6" ht="20.100000000000001" customHeight="1" x14ac:dyDescent="0.2">
      <c r="B674"/>
      <c r="D674"/>
      <c r="F674"/>
    </row>
    <row r="675" spans="2:6" ht="20.100000000000001" customHeight="1" x14ac:dyDescent="0.2">
      <c r="B675"/>
      <c r="D675"/>
      <c r="F675"/>
    </row>
    <row r="676" spans="2:6" ht="20.100000000000001" customHeight="1" x14ac:dyDescent="0.2">
      <c r="B676"/>
      <c r="D676"/>
      <c r="F676"/>
    </row>
    <row r="677" spans="2:6" ht="20.100000000000001" customHeight="1" x14ac:dyDescent="0.2">
      <c r="B677"/>
      <c r="D677"/>
      <c r="F677"/>
    </row>
    <row r="678" spans="2:6" ht="20.100000000000001" customHeight="1" x14ac:dyDescent="0.2">
      <c r="B678"/>
      <c r="D678"/>
      <c r="F678"/>
    </row>
    <row r="679" spans="2:6" ht="20.100000000000001" customHeight="1" x14ac:dyDescent="0.2">
      <c r="B679"/>
      <c r="D679"/>
      <c r="F679"/>
    </row>
    <row r="680" spans="2:6" ht="20.100000000000001" customHeight="1" x14ac:dyDescent="0.2">
      <c r="B680"/>
      <c r="D680"/>
      <c r="F680"/>
    </row>
    <row r="681" spans="2:6" ht="20.100000000000001" customHeight="1" x14ac:dyDescent="0.2">
      <c r="B681"/>
      <c r="D681"/>
      <c r="F681"/>
    </row>
    <row r="682" spans="2:6" ht="20.100000000000001" customHeight="1" x14ac:dyDescent="0.2">
      <c r="B682"/>
      <c r="D682"/>
      <c r="F682"/>
    </row>
    <row r="683" spans="2:6" ht="20.100000000000001" customHeight="1" x14ac:dyDescent="0.2">
      <c r="B683"/>
      <c r="D683"/>
      <c r="F683"/>
    </row>
    <row r="684" spans="2:6" ht="20.100000000000001" customHeight="1" x14ac:dyDescent="0.2">
      <c r="B684"/>
      <c r="D684"/>
      <c r="F684"/>
    </row>
    <row r="685" spans="2:6" ht="20.100000000000001" customHeight="1" x14ac:dyDescent="0.2">
      <c r="B685"/>
      <c r="D685"/>
      <c r="F685"/>
    </row>
    <row r="686" spans="2:6" ht="20.100000000000001" customHeight="1" x14ac:dyDescent="0.2">
      <c r="B686"/>
      <c r="D686"/>
      <c r="F686"/>
    </row>
    <row r="687" spans="2:6" ht="20.100000000000001" customHeight="1" x14ac:dyDescent="0.2">
      <c r="B687"/>
      <c r="D687"/>
      <c r="F687"/>
    </row>
    <row r="688" spans="2:6" ht="20.100000000000001" customHeight="1" x14ac:dyDescent="0.2">
      <c r="B688"/>
      <c r="D688"/>
      <c r="F688"/>
    </row>
    <row r="689" spans="2:6" ht="20.100000000000001" customHeight="1" x14ac:dyDescent="0.2">
      <c r="B689"/>
      <c r="D689"/>
      <c r="F689"/>
    </row>
    <row r="690" spans="2:6" ht="20.100000000000001" customHeight="1" x14ac:dyDescent="0.2">
      <c r="B690"/>
      <c r="D690"/>
      <c r="F690"/>
    </row>
    <row r="691" spans="2:6" ht="20.100000000000001" customHeight="1" x14ac:dyDescent="0.2">
      <c r="B691"/>
      <c r="D691"/>
      <c r="F691"/>
    </row>
    <row r="692" spans="2:6" ht="20.100000000000001" customHeight="1" x14ac:dyDescent="0.2">
      <c r="B692"/>
      <c r="D692"/>
      <c r="F692"/>
    </row>
    <row r="693" spans="2:6" ht="20.100000000000001" customHeight="1" x14ac:dyDescent="0.2">
      <c r="B693"/>
      <c r="D693"/>
      <c r="F693"/>
    </row>
    <row r="694" spans="2:6" ht="20.100000000000001" customHeight="1" x14ac:dyDescent="0.2">
      <c r="B694"/>
      <c r="D694"/>
      <c r="F694"/>
    </row>
    <row r="695" spans="2:6" ht="20.100000000000001" customHeight="1" x14ac:dyDescent="0.2">
      <c r="B695"/>
      <c r="D695"/>
      <c r="F695"/>
    </row>
    <row r="696" spans="2:6" ht="20.100000000000001" customHeight="1" x14ac:dyDescent="0.2">
      <c r="B696"/>
      <c r="D696"/>
      <c r="F696"/>
    </row>
    <row r="697" spans="2:6" ht="20.100000000000001" customHeight="1" x14ac:dyDescent="0.2">
      <c r="B697"/>
      <c r="D697"/>
      <c r="F697"/>
    </row>
    <row r="698" spans="2:6" ht="20.100000000000001" customHeight="1" x14ac:dyDescent="0.2">
      <c r="B698"/>
      <c r="D698"/>
      <c r="F698"/>
    </row>
    <row r="699" spans="2:6" ht="20.100000000000001" customHeight="1" x14ac:dyDescent="0.2">
      <c r="B699"/>
      <c r="D699"/>
      <c r="F699"/>
    </row>
    <row r="700" spans="2:6" ht="20.100000000000001" customHeight="1" x14ac:dyDescent="0.2">
      <c r="B700"/>
      <c r="D700"/>
      <c r="F700"/>
    </row>
    <row r="701" spans="2:6" ht="20.100000000000001" customHeight="1" x14ac:dyDescent="0.2">
      <c r="B701"/>
      <c r="D701"/>
      <c r="F701"/>
    </row>
    <row r="702" spans="2:6" ht="20.100000000000001" customHeight="1" x14ac:dyDescent="0.2">
      <c r="B702"/>
      <c r="D702"/>
      <c r="F702"/>
    </row>
    <row r="703" spans="2:6" ht="20.100000000000001" customHeight="1" x14ac:dyDescent="0.2">
      <c r="B703"/>
      <c r="D703"/>
      <c r="F703"/>
    </row>
    <row r="704" spans="2:6" ht="20.100000000000001" customHeight="1" x14ac:dyDescent="0.2">
      <c r="B704"/>
      <c r="D704"/>
      <c r="F704"/>
    </row>
    <row r="705" spans="2:6" ht="20.100000000000001" customHeight="1" x14ac:dyDescent="0.2">
      <c r="B705"/>
      <c r="D705"/>
      <c r="F705"/>
    </row>
    <row r="706" spans="2:6" ht="20.100000000000001" customHeight="1" x14ac:dyDescent="0.2">
      <c r="B706"/>
      <c r="D706"/>
      <c r="F706"/>
    </row>
    <row r="707" spans="2:6" ht="20.100000000000001" customHeight="1" x14ac:dyDescent="0.2">
      <c r="B707"/>
      <c r="D707"/>
      <c r="F707"/>
    </row>
    <row r="708" spans="2:6" ht="20.100000000000001" customHeight="1" x14ac:dyDescent="0.2">
      <c r="B708"/>
      <c r="D708"/>
      <c r="F708"/>
    </row>
    <row r="709" spans="2:6" ht="20.100000000000001" customHeight="1" x14ac:dyDescent="0.2">
      <c r="B709"/>
      <c r="D709"/>
      <c r="F709"/>
    </row>
    <row r="710" spans="2:6" ht="20.100000000000001" customHeight="1" x14ac:dyDescent="0.2">
      <c r="B710"/>
      <c r="D710"/>
      <c r="F710"/>
    </row>
    <row r="711" spans="2:6" ht="20.100000000000001" customHeight="1" x14ac:dyDescent="0.2">
      <c r="B711"/>
      <c r="D711"/>
      <c r="F711"/>
    </row>
    <row r="712" spans="2:6" ht="20.100000000000001" customHeight="1" x14ac:dyDescent="0.2">
      <c r="B712"/>
      <c r="D712"/>
      <c r="F712"/>
    </row>
    <row r="713" spans="2:6" ht="20.100000000000001" customHeight="1" x14ac:dyDescent="0.2">
      <c r="B713"/>
      <c r="D713"/>
      <c r="F713"/>
    </row>
    <row r="714" spans="2:6" ht="20.100000000000001" customHeight="1" x14ac:dyDescent="0.2">
      <c r="B714"/>
      <c r="D714"/>
      <c r="F714"/>
    </row>
    <row r="715" spans="2:6" ht="20.100000000000001" customHeight="1" x14ac:dyDescent="0.2">
      <c r="B715"/>
      <c r="D715"/>
      <c r="F715"/>
    </row>
    <row r="716" spans="2:6" ht="20.100000000000001" customHeight="1" x14ac:dyDescent="0.2">
      <c r="B716"/>
      <c r="D716"/>
      <c r="F716"/>
    </row>
    <row r="717" spans="2:6" ht="20.100000000000001" customHeight="1" x14ac:dyDescent="0.2">
      <c r="B717"/>
      <c r="D717"/>
      <c r="F717"/>
    </row>
    <row r="718" spans="2:6" ht="20.100000000000001" customHeight="1" x14ac:dyDescent="0.2">
      <c r="B718"/>
      <c r="D718"/>
      <c r="F718"/>
    </row>
    <row r="719" spans="2:6" ht="20.100000000000001" customHeight="1" x14ac:dyDescent="0.2">
      <c r="B719"/>
      <c r="D719"/>
      <c r="F719"/>
    </row>
    <row r="720" spans="2:6" ht="20.100000000000001" customHeight="1" x14ac:dyDescent="0.2">
      <c r="B720"/>
      <c r="D720"/>
      <c r="F720"/>
    </row>
    <row r="721" spans="2:6" ht="20.100000000000001" customHeight="1" x14ac:dyDescent="0.2">
      <c r="B721"/>
      <c r="D721"/>
      <c r="F721"/>
    </row>
    <row r="722" spans="2:6" ht="20.100000000000001" customHeight="1" x14ac:dyDescent="0.2">
      <c r="B722"/>
      <c r="D722"/>
      <c r="F722"/>
    </row>
    <row r="723" spans="2:6" ht="20.100000000000001" customHeight="1" x14ac:dyDescent="0.2">
      <c r="B723"/>
      <c r="D723"/>
      <c r="F723"/>
    </row>
    <row r="724" spans="2:6" ht="20.100000000000001" customHeight="1" x14ac:dyDescent="0.2">
      <c r="B724"/>
      <c r="D724"/>
      <c r="F724"/>
    </row>
    <row r="725" spans="2:6" ht="20.100000000000001" customHeight="1" x14ac:dyDescent="0.2">
      <c r="B725"/>
      <c r="D725"/>
      <c r="F725"/>
    </row>
    <row r="726" spans="2:6" ht="20.100000000000001" customHeight="1" x14ac:dyDescent="0.2">
      <c r="B726"/>
      <c r="D726"/>
      <c r="F726"/>
    </row>
    <row r="727" spans="2:6" ht="20.100000000000001" customHeight="1" x14ac:dyDescent="0.2">
      <c r="B727"/>
      <c r="D727"/>
      <c r="F727"/>
    </row>
    <row r="728" spans="2:6" ht="20.100000000000001" customHeight="1" x14ac:dyDescent="0.2">
      <c r="B728"/>
      <c r="D728"/>
      <c r="F728"/>
    </row>
    <row r="729" spans="2:6" ht="20.100000000000001" customHeight="1" x14ac:dyDescent="0.2">
      <c r="B729"/>
      <c r="D729"/>
      <c r="F729"/>
    </row>
    <row r="730" spans="2:6" ht="20.100000000000001" customHeight="1" x14ac:dyDescent="0.2">
      <c r="B730"/>
      <c r="D730"/>
      <c r="F730"/>
    </row>
    <row r="731" spans="2:6" ht="20.100000000000001" customHeight="1" x14ac:dyDescent="0.2">
      <c r="B731"/>
      <c r="D731"/>
      <c r="F731"/>
    </row>
    <row r="732" spans="2:6" ht="20.100000000000001" customHeight="1" x14ac:dyDescent="0.2">
      <c r="B732"/>
      <c r="D732"/>
      <c r="F732"/>
    </row>
    <row r="733" spans="2:6" ht="20.100000000000001" customHeight="1" x14ac:dyDescent="0.2">
      <c r="B733"/>
      <c r="D733"/>
      <c r="F733"/>
    </row>
    <row r="734" spans="2:6" ht="20.100000000000001" customHeight="1" x14ac:dyDescent="0.2">
      <c r="B734"/>
      <c r="D734"/>
      <c r="F734"/>
    </row>
    <row r="735" spans="2:6" ht="20.100000000000001" customHeight="1" x14ac:dyDescent="0.2">
      <c r="B735"/>
      <c r="D735"/>
      <c r="F735"/>
    </row>
    <row r="736" spans="2:6" ht="20.100000000000001" customHeight="1" x14ac:dyDescent="0.2">
      <c r="B736"/>
      <c r="D736"/>
      <c r="F736"/>
    </row>
    <row r="737" spans="2:6" ht="20.100000000000001" customHeight="1" x14ac:dyDescent="0.2">
      <c r="B737"/>
      <c r="D737"/>
      <c r="F737"/>
    </row>
    <row r="738" spans="2:6" ht="20.100000000000001" customHeight="1" x14ac:dyDescent="0.2">
      <c r="B738"/>
      <c r="D738"/>
      <c r="F738"/>
    </row>
    <row r="739" spans="2:6" ht="20.100000000000001" customHeight="1" x14ac:dyDescent="0.2">
      <c r="B739"/>
      <c r="D739"/>
      <c r="F739"/>
    </row>
    <row r="740" spans="2:6" ht="20.100000000000001" customHeight="1" x14ac:dyDescent="0.2">
      <c r="B740"/>
      <c r="D740"/>
      <c r="F740"/>
    </row>
    <row r="741" spans="2:6" ht="20.100000000000001" customHeight="1" x14ac:dyDescent="0.2">
      <c r="B741"/>
      <c r="D741"/>
      <c r="F741"/>
    </row>
    <row r="742" spans="2:6" ht="20.100000000000001" customHeight="1" x14ac:dyDescent="0.2">
      <c r="B742"/>
      <c r="D742"/>
      <c r="F742"/>
    </row>
    <row r="743" spans="2:6" ht="20.100000000000001" customHeight="1" x14ac:dyDescent="0.2">
      <c r="B743"/>
      <c r="D743"/>
      <c r="F743"/>
    </row>
    <row r="744" spans="2:6" ht="20.100000000000001" customHeight="1" x14ac:dyDescent="0.2">
      <c r="B744"/>
      <c r="D744"/>
      <c r="F744"/>
    </row>
    <row r="745" spans="2:6" ht="20.100000000000001" customHeight="1" x14ac:dyDescent="0.2">
      <c r="B745"/>
      <c r="D745"/>
      <c r="F745"/>
    </row>
    <row r="746" spans="2:6" ht="20.100000000000001" customHeight="1" x14ac:dyDescent="0.2">
      <c r="B746"/>
      <c r="D746"/>
      <c r="F746"/>
    </row>
    <row r="747" spans="2:6" ht="20.100000000000001" customHeight="1" x14ac:dyDescent="0.2">
      <c r="B747"/>
      <c r="D747"/>
      <c r="F747"/>
    </row>
    <row r="748" spans="2:6" ht="20.100000000000001" customHeight="1" x14ac:dyDescent="0.2">
      <c r="B748"/>
      <c r="D748"/>
      <c r="F748"/>
    </row>
    <row r="749" spans="2:6" ht="20.100000000000001" customHeight="1" x14ac:dyDescent="0.2">
      <c r="B749"/>
      <c r="D749"/>
      <c r="F749"/>
    </row>
    <row r="750" spans="2:6" ht="20.100000000000001" customHeight="1" x14ac:dyDescent="0.2">
      <c r="B750"/>
      <c r="D750"/>
      <c r="F750"/>
    </row>
    <row r="751" spans="2:6" ht="20.100000000000001" customHeight="1" x14ac:dyDescent="0.2">
      <c r="B751"/>
      <c r="D751"/>
      <c r="F751"/>
    </row>
    <row r="752" spans="2:6" ht="20.100000000000001" customHeight="1" x14ac:dyDescent="0.2">
      <c r="B752"/>
      <c r="D752"/>
      <c r="F752"/>
    </row>
    <row r="753" spans="2:6" ht="20.100000000000001" customHeight="1" x14ac:dyDescent="0.2">
      <c r="B753"/>
      <c r="D753"/>
      <c r="F753"/>
    </row>
    <row r="754" spans="2:6" ht="20.100000000000001" customHeight="1" x14ac:dyDescent="0.2">
      <c r="B754"/>
      <c r="D754"/>
      <c r="F754"/>
    </row>
    <row r="755" spans="2:6" ht="20.100000000000001" customHeight="1" x14ac:dyDescent="0.2">
      <c r="B755"/>
      <c r="D755"/>
      <c r="F755"/>
    </row>
    <row r="756" spans="2:6" ht="20.100000000000001" customHeight="1" x14ac:dyDescent="0.2">
      <c r="B756"/>
      <c r="D756"/>
      <c r="F756"/>
    </row>
    <row r="757" spans="2:6" ht="20.100000000000001" customHeight="1" x14ac:dyDescent="0.2">
      <c r="B757"/>
      <c r="D757"/>
      <c r="F757"/>
    </row>
    <row r="758" spans="2:6" ht="20.100000000000001" customHeight="1" x14ac:dyDescent="0.2">
      <c r="B758"/>
      <c r="D758"/>
      <c r="F758"/>
    </row>
    <row r="759" spans="2:6" ht="20.100000000000001" customHeight="1" x14ac:dyDescent="0.2">
      <c r="B759"/>
      <c r="D759"/>
      <c r="F759"/>
    </row>
    <row r="760" spans="2:6" ht="20.100000000000001" customHeight="1" x14ac:dyDescent="0.2">
      <c r="B760"/>
      <c r="D760"/>
      <c r="F760"/>
    </row>
    <row r="761" spans="2:6" ht="20.100000000000001" customHeight="1" x14ac:dyDescent="0.2">
      <c r="B761"/>
      <c r="D761"/>
      <c r="F761"/>
    </row>
    <row r="762" spans="2:6" ht="20.100000000000001" customHeight="1" x14ac:dyDescent="0.2">
      <c r="B762"/>
      <c r="D762"/>
      <c r="F762"/>
    </row>
    <row r="763" spans="2:6" ht="20.100000000000001" customHeight="1" x14ac:dyDescent="0.2">
      <c r="B763"/>
      <c r="D763"/>
      <c r="F763"/>
    </row>
    <row r="764" spans="2:6" ht="20.100000000000001" customHeight="1" x14ac:dyDescent="0.2">
      <c r="B764"/>
      <c r="D764"/>
      <c r="F764"/>
    </row>
    <row r="765" spans="2:6" ht="20.100000000000001" customHeight="1" x14ac:dyDescent="0.2">
      <c r="B765"/>
      <c r="D765"/>
      <c r="F765"/>
    </row>
    <row r="766" spans="2:6" ht="20.100000000000001" customHeight="1" x14ac:dyDescent="0.2">
      <c r="B766"/>
      <c r="D766"/>
      <c r="F766"/>
    </row>
    <row r="767" spans="2:6" ht="20.100000000000001" customHeight="1" x14ac:dyDescent="0.2">
      <c r="B767"/>
      <c r="D767"/>
      <c r="F767"/>
    </row>
    <row r="768" spans="2:6" ht="20.100000000000001" customHeight="1" x14ac:dyDescent="0.2">
      <c r="B768"/>
      <c r="D768"/>
      <c r="F768"/>
    </row>
    <row r="769" spans="2:6" ht="20.100000000000001" customHeight="1" x14ac:dyDescent="0.2">
      <c r="B769"/>
      <c r="D769"/>
      <c r="F769"/>
    </row>
    <row r="770" spans="2:6" ht="20.100000000000001" customHeight="1" x14ac:dyDescent="0.2">
      <c r="B770"/>
      <c r="D770"/>
      <c r="F770"/>
    </row>
    <row r="771" spans="2:6" ht="20.100000000000001" customHeight="1" x14ac:dyDescent="0.2">
      <c r="B771"/>
      <c r="D771"/>
      <c r="F771"/>
    </row>
    <row r="772" spans="2:6" ht="20.100000000000001" customHeight="1" x14ac:dyDescent="0.2">
      <c r="B772"/>
      <c r="D772"/>
      <c r="F772"/>
    </row>
    <row r="773" spans="2:6" ht="20.100000000000001" customHeight="1" x14ac:dyDescent="0.2">
      <c r="B773"/>
      <c r="D773"/>
      <c r="F773"/>
    </row>
    <row r="774" spans="2:6" ht="20.100000000000001" customHeight="1" x14ac:dyDescent="0.2">
      <c r="B774"/>
      <c r="D774"/>
      <c r="F774"/>
    </row>
    <row r="775" spans="2:6" ht="20.100000000000001" customHeight="1" x14ac:dyDescent="0.2">
      <c r="B775"/>
      <c r="D775"/>
      <c r="F775"/>
    </row>
    <row r="776" spans="2:6" ht="20.100000000000001" customHeight="1" x14ac:dyDescent="0.2">
      <c r="B776"/>
      <c r="D776"/>
      <c r="F776"/>
    </row>
    <row r="777" spans="2:6" ht="20.100000000000001" customHeight="1" x14ac:dyDescent="0.2">
      <c r="B777" s="8"/>
      <c r="D777" s="8"/>
      <c r="F777" s="8"/>
    </row>
    <row r="778" spans="2:6" ht="20.100000000000001" customHeight="1" x14ac:dyDescent="0.2">
      <c r="B778" s="8"/>
      <c r="D778" s="8"/>
      <c r="F778" s="8"/>
    </row>
    <row r="779" spans="2:6" ht="20.100000000000001" customHeight="1" x14ac:dyDescent="0.2">
      <c r="B779" s="8"/>
      <c r="D779" s="8"/>
      <c r="F779" s="8"/>
    </row>
    <row r="780" spans="2:6" ht="20.100000000000001" customHeight="1" x14ac:dyDescent="0.2">
      <c r="B780" s="8"/>
      <c r="D780" s="8"/>
      <c r="F780" s="8"/>
    </row>
    <row r="781" spans="2:6" ht="20.100000000000001" customHeight="1" x14ac:dyDescent="0.2">
      <c r="B781" s="8"/>
      <c r="D781" s="8"/>
      <c r="F781" s="8"/>
    </row>
    <row r="782" spans="2:6" ht="20.100000000000001" customHeight="1" x14ac:dyDescent="0.2">
      <c r="B782" s="8"/>
      <c r="D782" s="8"/>
      <c r="F782" s="8"/>
    </row>
    <row r="783" spans="2:6" ht="20.100000000000001" customHeight="1" x14ac:dyDescent="0.2">
      <c r="B783" s="8"/>
      <c r="D783" s="8"/>
      <c r="F783" s="8"/>
    </row>
    <row r="784" spans="2:6" ht="20.100000000000001" customHeight="1" x14ac:dyDescent="0.2">
      <c r="B784" s="8"/>
      <c r="D784" s="8"/>
      <c r="F784" s="8"/>
    </row>
    <row r="785" spans="2:6" ht="20.100000000000001" customHeight="1" x14ac:dyDescent="0.2">
      <c r="B785" s="8"/>
      <c r="D785" s="8"/>
      <c r="F785" s="8"/>
    </row>
    <row r="786" spans="2:6" ht="20.100000000000001" customHeight="1" x14ac:dyDescent="0.2">
      <c r="B786" s="8"/>
      <c r="D786" s="8"/>
      <c r="F786" s="8"/>
    </row>
    <row r="787" spans="2:6" ht="20.100000000000001" customHeight="1" x14ac:dyDescent="0.2">
      <c r="B787" s="8"/>
      <c r="D787" s="8"/>
      <c r="F787" s="8"/>
    </row>
  </sheetData>
  <phoneticPr fontId="10" type="noConversion"/>
  <printOptions horizontalCentered="1"/>
  <pageMargins left="0.19685039370078741" right="0.19685039370078741" top="0.19685039370078741" bottom="0.19685039370078741" header="9.8425196850393706E-2" footer="9.8425196850393706E-2"/>
  <pageSetup paperSize="9" fitToHeight="0" orientation="landscape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N787"/>
  <sheetViews>
    <sheetView showGridLines="0" topLeftCell="A42" zoomScale="90" zoomScaleNormal="90" workbookViewId="0">
      <selection activeCell="E3" activeCellId="1" sqref="B3:B66 E3:E66"/>
    </sheetView>
  </sheetViews>
  <sheetFormatPr defaultColWidth="8.85546875" defaultRowHeight="20.100000000000001" customHeight="1" x14ac:dyDescent="0.2"/>
  <cols>
    <col min="1" max="1" width="1.7109375" style="1" customWidth="1"/>
    <col min="2" max="4" width="18.7109375" style="1" customWidth="1"/>
    <col min="5" max="5" width="18.42578125" style="1" customWidth="1"/>
    <col min="6" max="10" width="8.85546875" style="1"/>
    <col min="11" max="11" width="5.42578125" style="1" customWidth="1"/>
    <col min="12" max="12" width="8.85546875" style="1" hidden="1" customWidth="1"/>
    <col min="13" max="13" width="8.85546875" style="1"/>
    <col min="14" max="14" width="10.28515625" style="1" customWidth="1"/>
    <col min="15" max="16384" width="8.85546875" style="1"/>
  </cols>
  <sheetData>
    <row r="1" spans="2:14" ht="11.25" customHeight="1" x14ac:dyDescent="0.2"/>
    <row r="2" spans="2:14" s="4" customFormat="1" ht="30" customHeight="1" x14ac:dyDescent="0.2">
      <c r="B2" s="3" t="s">
        <v>656</v>
      </c>
      <c r="C2" s="3" t="s">
        <v>657</v>
      </c>
      <c r="D2" s="3" t="s">
        <v>658</v>
      </c>
      <c r="E2" s="10" t="s">
        <v>1071</v>
      </c>
    </row>
    <row r="3" spans="2:14" ht="20.100000000000001" customHeight="1" x14ac:dyDescent="0.2">
      <c r="B3" s="1" t="s">
        <v>787</v>
      </c>
      <c r="C3" s="1">
        <v>50</v>
      </c>
      <c r="D3" s="6" t="s">
        <v>383</v>
      </c>
      <c r="E3" s="9">
        <v>1</v>
      </c>
    </row>
    <row r="4" spans="2:14" ht="20.100000000000001" customHeight="1" x14ac:dyDescent="0.2">
      <c r="B4" s="1" t="s">
        <v>843</v>
      </c>
      <c r="C4" s="1">
        <v>100</v>
      </c>
      <c r="D4" s="6" t="s">
        <v>742</v>
      </c>
      <c r="E4" s="9">
        <v>2</v>
      </c>
    </row>
    <row r="5" spans="2:14" ht="20.100000000000001" customHeight="1" x14ac:dyDescent="0.2">
      <c r="B5" s="1" t="s">
        <v>388</v>
      </c>
      <c r="C5" s="1">
        <v>1</v>
      </c>
      <c r="D5" s="6" t="s">
        <v>388</v>
      </c>
      <c r="E5" s="9">
        <v>3</v>
      </c>
      <c r="G5" s="1" t="e">
        <f>VLOOKUP(B3:B66,N5:N745,0,FALSE)</f>
        <v>#VALUE!</v>
      </c>
      <c r="M5" s="1" t="s">
        <v>787</v>
      </c>
      <c r="N5" s="1">
        <v>1</v>
      </c>
    </row>
    <row r="6" spans="2:14" ht="20.100000000000001" customHeight="1" x14ac:dyDescent="0.2">
      <c r="B6" s="1" t="s">
        <v>946</v>
      </c>
      <c r="C6" s="1">
        <v>1000</v>
      </c>
      <c r="D6" s="6" t="s">
        <v>678</v>
      </c>
      <c r="E6" s="9">
        <v>4</v>
      </c>
      <c r="M6" s="1" t="s">
        <v>843</v>
      </c>
      <c r="N6" s="1">
        <v>2</v>
      </c>
    </row>
    <row r="7" spans="2:14" ht="20.100000000000001" customHeight="1" x14ac:dyDescent="0.2">
      <c r="B7" s="1" t="s">
        <v>943</v>
      </c>
      <c r="C7" s="1">
        <v>190</v>
      </c>
      <c r="D7" s="6" t="s">
        <v>678</v>
      </c>
      <c r="E7" s="9">
        <v>5</v>
      </c>
      <c r="M7" s="1" t="s">
        <v>388</v>
      </c>
      <c r="N7" s="1">
        <v>3</v>
      </c>
    </row>
    <row r="8" spans="2:14" ht="20.100000000000001" customHeight="1" x14ac:dyDescent="0.2">
      <c r="B8" s="1" t="s">
        <v>680</v>
      </c>
      <c r="C8" s="1">
        <v>3000</v>
      </c>
      <c r="D8" s="6" t="s">
        <v>678</v>
      </c>
      <c r="E8" s="9">
        <v>6</v>
      </c>
      <c r="M8" s="1" t="s">
        <v>946</v>
      </c>
      <c r="N8" s="1">
        <v>4</v>
      </c>
    </row>
    <row r="9" spans="2:14" ht="20.100000000000001" customHeight="1" x14ac:dyDescent="0.2">
      <c r="B9" s="1" t="s">
        <v>681</v>
      </c>
      <c r="C9" s="1">
        <v>5000</v>
      </c>
      <c r="D9" s="6" t="s">
        <v>678</v>
      </c>
      <c r="E9" s="9">
        <v>7</v>
      </c>
      <c r="M9" s="1" t="s">
        <v>943</v>
      </c>
      <c r="N9" s="1">
        <v>5</v>
      </c>
    </row>
    <row r="10" spans="2:14" ht="20.100000000000001" customHeight="1" x14ac:dyDescent="0.2">
      <c r="B10" s="1" t="s">
        <v>689</v>
      </c>
      <c r="C10" s="1">
        <v>18000</v>
      </c>
      <c r="D10" s="6" t="s">
        <v>678</v>
      </c>
      <c r="E10" s="9">
        <v>8</v>
      </c>
      <c r="M10" s="1" t="s">
        <v>680</v>
      </c>
      <c r="N10" s="1">
        <v>6</v>
      </c>
    </row>
    <row r="11" spans="2:14" ht="20.100000000000001" customHeight="1" x14ac:dyDescent="0.2">
      <c r="B11" s="1" t="s">
        <v>687</v>
      </c>
      <c r="C11" s="1">
        <v>3290</v>
      </c>
      <c r="D11" s="6" t="s">
        <v>678</v>
      </c>
      <c r="E11" s="9">
        <v>9</v>
      </c>
      <c r="M11" s="1" t="s">
        <v>681</v>
      </c>
      <c r="N11" s="1">
        <v>7</v>
      </c>
    </row>
    <row r="12" spans="2:14" ht="20.100000000000001" customHeight="1" x14ac:dyDescent="0.2">
      <c r="B12" s="1" t="s">
        <v>385</v>
      </c>
      <c r="C12" s="1">
        <v>1</v>
      </c>
      <c r="D12" s="6" t="s">
        <v>385</v>
      </c>
      <c r="E12" s="9">
        <v>10</v>
      </c>
      <c r="M12" s="1" t="s">
        <v>689</v>
      </c>
      <c r="N12" s="1">
        <v>8</v>
      </c>
    </row>
    <row r="13" spans="2:14" ht="20.100000000000001" customHeight="1" x14ac:dyDescent="0.2">
      <c r="B13" s="1" t="s">
        <v>842</v>
      </c>
      <c r="C13" s="1">
        <v>10000</v>
      </c>
      <c r="D13" s="6" t="s">
        <v>743</v>
      </c>
      <c r="E13" s="9">
        <v>11</v>
      </c>
      <c r="M13" s="1" t="s">
        <v>687</v>
      </c>
      <c r="N13" s="1">
        <v>9</v>
      </c>
    </row>
    <row r="14" spans="2:14" ht="20.100000000000001" customHeight="1" x14ac:dyDescent="0.2">
      <c r="B14" s="1" t="s">
        <v>778</v>
      </c>
      <c r="C14" s="1">
        <v>5000</v>
      </c>
      <c r="D14" s="6" t="s">
        <v>678</v>
      </c>
      <c r="E14" s="9">
        <v>12</v>
      </c>
      <c r="M14" s="1" t="s">
        <v>385</v>
      </c>
      <c r="N14" s="1">
        <v>10</v>
      </c>
    </row>
    <row r="15" spans="2:14" ht="20.100000000000001" customHeight="1" x14ac:dyDescent="0.2">
      <c r="B15" s="1" t="s">
        <v>896</v>
      </c>
      <c r="C15" s="1">
        <v>1</v>
      </c>
      <c r="D15" s="6" t="s">
        <v>896</v>
      </c>
      <c r="E15" s="9">
        <v>13</v>
      </c>
      <c r="M15" s="1" t="s">
        <v>842</v>
      </c>
      <c r="N15" s="1">
        <v>11</v>
      </c>
    </row>
    <row r="16" spans="2:14" ht="20.100000000000001" customHeight="1" x14ac:dyDescent="0.2">
      <c r="B16" s="1" t="s">
        <v>381</v>
      </c>
      <c r="C16" s="1">
        <v>1</v>
      </c>
      <c r="D16" s="6" t="s">
        <v>381</v>
      </c>
      <c r="E16" s="9">
        <v>14</v>
      </c>
      <c r="M16" s="1" t="s">
        <v>778</v>
      </c>
      <c r="N16" s="1">
        <v>12</v>
      </c>
    </row>
    <row r="17" spans="2:14" ht="20.100000000000001" customHeight="1" x14ac:dyDescent="0.2">
      <c r="B17" s="1" t="s">
        <v>776</v>
      </c>
      <c r="C17" s="1">
        <v>1000</v>
      </c>
      <c r="D17" s="6" t="s">
        <v>743</v>
      </c>
      <c r="E17" s="9">
        <v>15</v>
      </c>
      <c r="M17" s="1" t="s">
        <v>896</v>
      </c>
      <c r="N17" s="1">
        <v>13</v>
      </c>
    </row>
    <row r="18" spans="2:14" ht="20.100000000000001" customHeight="1" x14ac:dyDescent="0.2">
      <c r="B18" s="1" t="s">
        <v>879</v>
      </c>
      <c r="C18" s="1">
        <v>165</v>
      </c>
      <c r="D18" s="6" t="s">
        <v>678</v>
      </c>
      <c r="E18" s="9">
        <v>16</v>
      </c>
      <c r="M18" s="1" t="s">
        <v>381</v>
      </c>
      <c r="N18" s="1">
        <v>14</v>
      </c>
    </row>
    <row r="19" spans="2:14" ht="20.100000000000001" customHeight="1" x14ac:dyDescent="0.2">
      <c r="B19" s="1" t="s">
        <v>786</v>
      </c>
      <c r="C19" s="1">
        <v>235</v>
      </c>
      <c r="D19" s="6" t="s">
        <v>678</v>
      </c>
      <c r="E19" s="9">
        <v>17</v>
      </c>
      <c r="M19" s="1" t="s">
        <v>776</v>
      </c>
      <c r="N19" s="1">
        <v>15</v>
      </c>
    </row>
    <row r="20" spans="2:14" ht="20.100000000000001" customHeight="1" x14ac:dyDescent="0.2">
      <c r="B20" s="1" t="s">
        <v>765</v>
      </c>
      <c r="C20" s="1">
        <v>350</v>
      </c>
      <c r="D20" s="6" t="s">
        <v>743</v>
      </c>
      <c r="E20" s="9">
        <v>18</v>
      </c>
      <c r="M20" s="1" t="s">
        <v>879</v>
      </c>
      <c r="N20" s="1">
        <v>16</v>
      </c>
    </row>
    <row r="21" spans="2:14" ht="20.100000000000001" customHeight="1" x14ac:dyDescent="0.2">
      <c r="B21" s="1" t="s">
        <v>746</v>
      </c>
      <c r="C21" s="1">
        <v>480</v>
      </c>
      <c r="D21" s="6" t="s">
        <v>678</v>
      </c>
      <c r="E21" s="9">
        <v>19</v>
      </c>
      <c r="M21" s="1" t="s">
        <v>786</v>
      </c>
      <c r="N21" s="1">
        <v>17</v>
      </c>
    </row>
    <row r="22" spans="2:14" ht="20.100000000000001" customHeight="1" x14ac:dyDescent="0.2">
      <c r="B22" s="1" t="s">
        <v>942</v>
      </c>
      <c r="C22" s="1">
        <v>500</v>
      </c>
      <c r="D22" s="6" t="s">
        <v>678</v>
      </c>
      <c r="E22" s="9">
        <v>20</v>
      </c>
      <c r="M22" s="1" t="s">
        <v>765</v>
      </c>
      <c r="N22" s="1">
        <v>18</v>
      </c>
    </row>
    <row r="23" spans="2:14" ht="20.100000000000001" customHeight="1" x14ac:dyDescent="0.2">
      <c r="B23" s="1" t="s">
        <v>764</v>
      </c>
      <c r="C23" s="1">
        <v>600</v>
      </c>
      <c r="D23" s="6" t="s">
        <v>743</v>
      </c>
      <c r="E23" s="9">
        <v>21</v>
      </c>
      <c r="M23" s="1" t="s">
        <v>746</v>
      </c>
      <c r="N23" s="1">
        <v>19</v>
      </c>
    </row>
    <row r="24" spans="2:14" ht="20.100000000000001" customHeight="1" x14ac:dyDescent="0.2">
      <c r="B24" s="1" t="s">
        <v>944</v>
      </c>
      <c r="C24" s="1">
        <v>750</v>
      </c>
      <c r="D24" s="6" t="s">
        <v>743</v>
      </c>
      <c r="E24" s="9">
        <v>22</v>
      </c>
      <c r="M24" s="1" t="s">
        <v>942</v>
      </c>
      <c r="N24" s="1">
        <v>20</v>
      </c>
    </row>
    <row r="25" spans="2:14" ht="20.100000000000001" customHeight="1" x14ac:dyDescent="0.2">
      <c r="B25" s="1" t="s">
        <v>384</v>
      </c>
      <c r="C25" s="1">
        <v>1</v>
      </c>
      <c r="D25" s="6" t="s">
        <v>384</v>
      </c>
      <c r="E25" s="9">
        <v>23</v>
      </c>
      <c r="M25" s="1" t="s">
        <v>764</v>
      </c>
      <c r="N25" s="1">
        <v>21</v>
      </c>
    </row>
    <row r="26" spans="2:14" ht="20.100000000000001" customHeight="1" x14ac:dyDescent="0.2">
      <c r="B26" s="1" t="s">
        <v>691</v>
      </c>
      <c r="C26" s="1">
        <v>20000</v>
      </c>
      <c r="D26" s="6" t="s">
        <v>678</v>
      </c>
      <c r="E26" s="9">
        <v>24</v>
      </c>
      <c r="M26" s="1" t="s">
        <v>944</v>
      </c>
      <c r="N26" s="1">
        <v>22</v>
      </c>
    </row>
    <row r="27" spans="2:14" ht="20.100000000000001" customHeight="1" x14ac:dyDescent="0.2">
      <c r="B27" s="1" t="s">
        <v>690</v>
      </c>
      <c r="C27" s="1">
        <v>25000</v>
      </c>
      <c r="D27" s="6" t="s">
        <v>678</v>
      </c>
      <c r="E27" s="9">
        <v>25</v>
      </c>
      <c r="M27" s="1" t="s">
        <v>384</v>
      </c>
      <c r="N27" s="1">
        <v>23</v>
      </c>
    </row>
    <row r="28" spans="2:14" ht="20.100000000000001" customHeight="1" x14ac:dyDescent="0.2">
      <c r="B28" s="1" t="s">
        <v>692</v>
      </c>
      <c r="C28" s="1">
        <v>40000</v>
      </c>
      <c r="D28" s="6" t="s">
        <v>678</v>
      </c>
      <c r="E28" s="9">
        <v>26</v>
      </c>
      <c r="M28" s="1" t="s">
        <v>691</v>
      </c>
      <c r="N28" s="1">
        <v>24</v>
      </c>
    </row>
    <row r="29" spans="2:14" ht="20.100000000000001" customHeight="1" x14ac:dyDescent="0.2">
      <c r="B29" s="1" t="s">
        <v>883</v>
      </c>
      <c r="C29" s="1">
        <v>50000</v>
      </c>
      <c r="D29" s="6" t="s">
        <v>678</v>
      </c>
      <c r="E29" s="9">
        <v>27</v>
      </c>
      <c r="M29" s="1" t="s">
        <v>690</v>
      </c>
      <c r="N29" s="1">
        <v>25</v>
      </c>
    </row>
    <row r="30" spans="2:14" ht="20.100000000000001" customHeight="1" x14ac:dyDescent="0.2">
      <c r="B30" s="1" t="s">
        <v>947</v>
      </c>
      <c r="C30" s="1">
        <v>11000</v>
      </c>
      <c r="D30" s="6" t="s">
        <v>678</v>
      </c>
      <c r="E30" s="9">
        <v>28</v>
      </c>
      <c r="M30" s="1" t="s">
        <v>692</v>
      </c>
      <c r="N30" s="1">
        <v>26</v>
      </c>
    </row>
    <row r="31" spans="2:14" ht="20.100000000000001" customHeight="1" x14ac:dyDescent="0.2">
      <c r="B31" s="1" t="s">
        <v>390</v>
      </c>
      <c r="C31" s="1">
        <v>5</v>
      </c>
      <c r="D31" s="6" t="s">
        <v>742</v>
      </c>
      <c r="E31" s="9">
        <v>29</v>
      </c>
      <c r="M31" s="1" t="s">
        <v>883</v>
      </c>
      <c r="N31" s="1">
        <v>27</v>
      </c>
    </row>
    <row r="32" spans="2:14" ht="20.100000000000001" customHeight="1" x14ac:dyDescent="0.2">
      <c r="B32" s="1" t="s">
        <v>920</v>
      </c>
      <c r="C32" s="1">
        <v>30</v>
      </c>
      <c r="D32" s="6" t="s">
        <v>742</v>
      </c>
      <c r="E32" s="9">
        <v>30</v>
      </c>
      <c r="M32" s="1" t="s">
        <v>947</v>
      </c>
      <c r="N32" s="1">
        <v>28</v>
      </c>
    </row>
    <row r="33" spans="2:14" ht="20.100000000000001" customHeight="1" x14ac:dyDescent="0.2">
      <c r="B33" s="1" t="s">
        <v>918</v>
      </c>
      <c r="C33" s="1">
        <v>5</v>
      </c>
      <c r="D33" s="6" t="s">
        <v>742</v>
      </c>
      <c r="E33" s="9">
        <v>31</v>
      </c>
      <c r="M33" s="1" t="s">
        <v>390</v>
      </c>
      <c r="N33" s="1">
        <v>29</v>
      </c>
    </row>
    <row r="34" spans="2:14" ht="20.100000000000001" customHeight="1" x14ac:dyDescent="0.2">
      <c r="B34" s="1" t="s">
        <v>389</v>
      </c>
      <c r="C34" s="1">
        <v>4</v>
      </c>
      <c r="D34" s="6" t="s">
        <v>742</v>
      </c>
      <c r="E34" s="9">
        <v>32</v>
      </c>
      <c r="M34" s="1" t="s">
        <v>920</v>
      </c>
      <c r="N34" s="1">
        <v>30</v>
      </c>
    </row>
    <row r="35" spans="2:14" ht="20.100000000000001" customHeight="1" x14ac:dyDescent="0.2">
      <c r="B35" s="1" t="s">
        <v>382</v>
      </c>
      <c r="C35" s="1">
        <v>1</v>
      </c>
      <c r="D35" s="6" t="s">
        <v>382</v>
      </c>
      <c r="E35" s="9">
        <v>33</v>
      </c>
      <c r="M35" s="1" t="s">
        <v>918</v>
      </c>
      <c r="N35" s="1">
        <v>31</v>
      </c>
    </row>
    <row r="36" spans="2:14" ht="20.100000000000001" customHeight="1" x14ac:dyDescent="0.2">
      <c r="B36" s="1" t="s">
        <v>945</v>
      </c>
      <c r="C36" s="1">
        <v>1000</v>
      </c>
      <c r="D36" s="6" t="s">
        <v>678</v>
      </c>
      <c r="E36" s="9">
        <v>34</v>
      </c>
      <c r="M36" s="1" t="s">
        <v>389</v>
      </c>
      <c r="N36" s="1">
        <v>32</v>
      </c>
    </row>
    <row r="37" spans="2:14" ht="20.100000000000001" customHeight="1" x14ac:dyDescent="0.2">
      <c r="B37" s="1" t="s">
        <v>759</v>
      </c>
      <c r="C37" s="1">
        <v>1000</v>
      </c>
      <c r="D37" s="6" t="s">
        <v>743</v>
      </c>
      <c r="E37" s="9">
        <v>35</v>
      </c>
      <c r="M37" s="1" t="s">
        <v>382</v>
      </c>
      <c r="N37" s="1">
        <v>33</v>
      </c>
    </row>
    <row r="38" spans="2:14" ht="20.100000000000001" customHeight="1" x14ac:dyDescent="0.2">
      <c r="B38" s="1" t="s">
        <v>904</v>
      </c>
      <c r="C38" s="1">
        <v>1500</v>
      </c>
      <c r="D38" s="6" t="s">
        <v>743</v>
      </c>
      <c r="E38" s="9">
        <v>36</v>
      </c>
      <c r="M38" s="1" t="s">
        <v>945</v>
      </c>
      <c r="N38" s="1">
        <v>34</v>
      </c>
    </row>
    <row r="39" spans="2:14" ht="20.100000000000001" customHeight="1" x14ac:dyDescent="0.2">
      <c r="B39" s="1" t="s">
        <v>779</v>
      </c>
      <c r="C39" s="1">
        <v>180</v>
      </c>
      <c r="D39" s="6" t="s">
        <v>678</v>
      </c>
      <c r="E39" s="9">
        <v>37</v>
      </c>
      <c r="M39" s="1" t="s">
        <v>759</v>
      </c>
      <c r="N39" s="1">
        <v>35</v>
      </c>
    </row>
    <row r="40" spans="2:14" ht="20.100000000000001" customHeight="1" x14ac:dyDescent="0.2">
      <c r="B40" s="1" t="s">
        <v>755</v>
      </c>
      <c r="C40" s="1">
        <v>400</v>
      </c>
      <c r="D40" s="6" t="s">
        <v>678</v>
      </c>
      <c r="E40" s="9">
        <v>38</v>
      </c>
      <c r="M40" s="1" t="s">
        <v>904</v>
      </c>
      <c r="N40" s="1">
        <v>36</v>
      </c>
    </row>
    <row r="41" spans="2:14" ht="20.100000000000001" customHeight="1" x14ac:dyDescent="0.2">
      <c r="B41" s="1" t="s">
        <v>886</v>
      </c>
      <c r="C41" s="1">
        <v>50</v>
      </c>
      <c r="D41" s="6" t="s">
        <v>919</v>
      </c>
      <c r="E41" s="9">
        <v>39</v>
      </c>
      <c r="M41" s="1" t="s">
        <v>779</v>
      </c>
      <c r="N41" s="1">
        <v>37</v>
      </c>
    </row>
    <row r="42" spans="2:14" ht="20.100000000000001" customHeight="1" x14ac:dyDescent="0.2">
      <c r="B42" s="1" t="s">
        <v>952</v>
      </c>
      <c r="C42" s="1">
        <v>700</v>
      </c>
      <c r="D42" s="6" t="s">
        <v>678</v>
      </c>
      <c r="E42" s="9">
        <v>40</v>
      </c>
      <c r="M42" s="1" t="s">
        <v>755</v>
      </c>
      <c r="N42" s="1">
        <v>38</v>
      </c>
    </row>
    <row r="43" spans="2:14" ht="20.100000000000001" customHeight="1" x14ac:dyDescent="0.2">
      <c r="B43" s="1" t="s">
        <v>745</v>
      </c>
      <c r="C43" s="1">
        <v>800</v>
      </c>
      <c r="D43" s="6" t="s">
        <v>678</v>
      </c>
      <c r="E43" s="9">
        <v>41</v>
      </c>
      <c r="M43" s="1" t="s">
        <v>886</v>
      </c>
      <c r="N43" s="1">
        <v>39</v>
      </c>
    </row>
    <row r="44" spans="2:14" ht="20.100000000000001" customHeight="1" x14ac:dyDescent="0.2">
      <c r="B44" s="1" t="s">
        <v>917</v>
      </c>
      <c r="C44" s="1">
        <v>9</v>
      </c>
      <c r="D44" s="6" t="s">
        <v>742</v>
      </c>
      <c r="E44" s="9">
        <v>42</v>
      </c>
      <c r="M44" s="1" t="s">
        <v>952</v>
      </c>
      <c r="N44" s="1">
        <v>40</v>
      </c>
    </row>
    <row r="45" spans="2:14" ht="20.100000000000001" customHeight="1" x14ac:dyDescent="0.2">
      <c r="B45" s="1" t="s">
        <v>742</v>
      </c>
      <c r="C45" s="1">
        <v>1</v>
      </c>
      <c r="D45" s="6" t="s">
        <v>742</v>
      </c>
      <c r="E45" s="9">
        <v>43</v>
      </c>
      <c r="M45" s="1" t="s">
        <v>745</v>
      </c>
      <c r="N45" s="1">
        <v>41</v>
      </c>
    </row>
    <row r="46" spans="2:14" ht="20.100000000000001" customHeight="1" x14ac:dyDescent="0.2">
      <c r="B46" s="1" t="s">
        <v>926</v>
      </c>
      <c r="C46" s="1">
        <v>500</v>
      </c>
      <c r="D46" s="6" t="s">
        <v>678</v>
      </c>
      <c r="E46" s="9">
        <v>44</v>
      </c>
      <c r="M46" s="1" t="s">
        <v>917</v>
      </c>
      <c r="N46" s="1">
        <v>42</v>
      </c>
    </row>
    <row r="47" spans="2:14" ht="20.100000000000001" customHeight="1" x14ac:dyDescent="0.2">
      <c r="B47" s="1" t="s">
        <v>387</v>
      </c>
      <c r="C47" s="1">
        <v>1</v>
      </c>
      <c r="D47" s="6" t="s">
        <v>387</v>
      </c>
      <c r="E47" s="9">
        <v>45</v>
      </c>
      <c r="M47" s="1" t="s">
        <v>742</v>
      </c>
      <c r="N47" s="1">
        <v>43</v>
      </c>
    </row>
    <row r="48" spans="2:14" ht="20.100000000000001" customHeight="1" x14ac:dyDescent="0.2">
      <c r="B48" s="1" t="s">
        <v>763</v>
      </c>
      <c r="C48" s="1">
        <v>500</v>
      </c>
      <c r="D48" s="6" t="s">
        <v>743</v>
      </c>
      <c r="E48" s="9">
        <v>46</v>
      </c>
      <c r="M48" s="1" t="s">
        <v>926</v>
      </c>
      <c r="N48" s="1">
        <v>44</v>
      </c>
    </row>
    <row r="49" spans="2:14" ht="20.100000000000001" customHeight="1" x14ac:dyDescent="0.2">
      <c r="B49" s="1" t="s">
        <v>747</v>
      </c>
      <c r="C49" s="1">
        <v>1000</v>
      </c>
      <c r="D49" s="6" t="s">
        <v>921</v>
      </c>
      <c r="E49" s="9">
        <v>47</v>
      </c>
      <c r="M49" s="1" t="s">
        <v>387</v>
      </c>
      <c r="N49" s="1">
        <v>45</v>
      </c>
    </row>
    <row r="50" spans="2:14" ht="20.100000000000001" customHeight="1" x14ac:dyDescent="0.2">
      <c r="B50" s="1" t="s">
        <v>922</v>
      </c>
      <c r="C50" s="1">
        <v>24</v>
      </c>
      <c r="D50" s="6" t="s">
        <v>742</v>
      </c>
      <c r="E50" s="9">
        <v>48</v>
      </c>
      <c r="M50" s="1" t="s">
        <v>763</v>
      </c>
      <c r="N50" s="1">
        <v>46</v>
      </c>
    </row>
    <row r="51" spans="2:14" ht="20.100000000000001" customHeight="1" x14ac:dyDescent="0.2">
      <c r="B51" s="1" t="s">
        <v>383</v>
      </c>
      <c r="C51" s="1">
        <v>1</v>
      </c>
      <c r="D51" s="6" t="s">
        <v>383</v>
      </c>
      <c r="E51" s="9">
        <v>49</v>
      </c>
      <c r="M51" s="1" t="s">
        <v>747</v>
      </c>
      <c r="N51" s="1">
        <v>47</v>
      </c>
    </row>
    <row r="52" spans="2:14" ht="20.100000000000001" customHeight="1" x14ac:dyDescent="0.2">
      <c r="B52" s="1" t="s">
        <v>758</v>
      </c>
      <c r="C52" s="1">
        <v>1000</v>
      </c>
      <c r="D52" s="6" t="s">
        <v>743</v>
      </c>
      <c r="E52" s="9">
        <v>50</v>
      </c>
      <c r="M52" s="1" t="s">
        <v>922</v>
      </c>
      <c r="N52" s="1">
        <v>48</v>
      </c>
    </row>
    <row r="53" spans="2:14" ht="20.100000000000001" customHeight="1" x14ac:dyDescent="0.2">
      <c r="B53" s="1" t="s">
        <v>761</v>
      </c>
      <c r="C53" s="1">
        <v>1000</v>
      </c>
      <c r="D53" s="6" t="s">
        <v>678</v>
      </c>
      <c r="E53" s="9">
        <v>51</v>
      </c>
      <c r="M53" s="1" t="s">
        <v>383</v>
      </c>
      <c r="N53" s="1">
        <v>49</v>
      </c>
    </row>
    <row r="54" spans="2:14" ht="20.100000000000001" customHeight="1" x14ac:dyDescent="0.2">
      <c r="B54" s="1" t="s">
        <v>948</v>
      </c>
      <c r="C54" s="1">
        <v>170</v>
      </c>
      <c r="D54" s="6" t="s">
        <v>678</v>
      </c>
      <c r="E54" s="9">
        <v>52</v>
      </c>
      <c r="M54" s="1" t="s">
        <v>758</v>
      </c>
      <c r="N54" s="1">
        <v>50</v>
      </c>
    </row>
    <row r="55" spans="2:14" ht="20.100000000000001" customHeight="1" x14ac:dyDescent="0.2">
      <c r="B55" s="1" t="s">
        <v>894</v>
      </c>
      <c r="C55" s="1">
        <v>2500</v>
      </c>
      <c r="D55" s="6" t="s">
        <v>678</v>
      </c>
      <c r="E55" s="9">
        <v>53</v>
      </c>
      <c r="M55" s="1" t="s">
        <v>761</v>
      </c>
      <c r="N55" s="1">
        <v>51</v>
      </c>
    </row>
    <row r="56" spans="2:14" ht="20.100000000000001" customHeight="1" x14ac:dyDescent="0.2">
      <c r="B56" s="1" t="s">
        <v>949</v>
      </c>
      <c r="C56" s="1">
        <v>20</v>
      </c>
      <c r="D56" s="6" t="s">
        <v>678</v>
      </c>
      <c r="E56" s="9">
        <v>54</v>
      </c>
      <c r="M56" s="1" t="s">
        <v>948</v>
      </c>
      <c r="N56" s="1">
        <v>52</v>
      </c>
    </row>
    <row r="57" spans="2:14" ht="20.100000000000001" customHeight="1" x14ac:dyDescent="0.2">
      <c r="B57" s="1" t="s">
        <v>950</v>
      </c>
      <c r="C57" s="1">
        <v>200</v>
      </c>
      <c r="D57" s="6" t="s">
        <v>678</v>
      </c>
      <c r="E57" s="9">
        <v>55</v>
      </c>
      <c r="M57" s="1" t="s">
        <v>894</v>
      </c>
      <c r="N57" s="1">
        <v>53</v>
      </c>
    </row>
    <row r="58" spans="2:14" ht="20.100000000000001" customHeight="1" x14ac:dyDescent="0.2">
      <c r="B58" s="1" t="s">
        <v>762</v>
      </c>
      <c r="C58" s="1">
        <v>400</v>
      </c>
      <c r="D58" s="6" t="s">
        <v>678</v>
      </c>
      <c r="E58" s="9">
        <v>56</v>
      </c>
      <c r="M58" s="1" t="s">
        <v>949</v>
      </c>
      <c r="N58" s="1">
        <v>54</v>
      </c>
    </row>
    <row r="59" spans="2:14" ht="20.100000000000001" customHeight="1" x14ac:dyDescent="0.2">
      <c r="B59" s="1" t="s">
        <v>906</v>
      </c>
      <c r="C59" s="1">
        <v>50</v>
      </c>
      <c r="D59" s="6" t="s">
        <v>742</v>
      </c>
      <c r="E59" s="9">
        <v>57</v>
      </c>
      <c r="M59" s="1" t="s">
        <v>950</v>
      </c>
      <c r="N59" s="1">
        <v>55</v>
      </c>
    </row>
    <row r="60" spans="2:14" ht="20.100000000000001" customHeight="1" x14ac:dyDescent="0.2">
      <c r="B60" s="1" t="s">
        <v>951</v>
      </c>
      <c r="C60" s="1">
        <v>625</v>
      </c>
      <c r="D60" s="6" t="s">
        <v>678</v>
      </c>
      <c r="E60" s="9">
        <v>58</v>
      </c>
      <c r="M60" s="1" t="s">
        <v>762</v>
      </c>
      <c r="N60" s="1">
        <v>56</v>
      </c>
    </row>
    <row r="61" spans="2:14" ht="20.100000000000001" customHeight="1" x14ac:dyDescent="0.2">
      <c r="B61" s="1" t="s">
        <v>768</v>
      </c>
      <c r="C61" s="1">
        <v>1</v>
      </c>
      <c r="D61" s="6" t="s">
        <v>768</v>
      </c>
      <c r="E61" s="9">
        <v>59</v>
      </c>
      <c r="M61" s="1" t="s">
        <v>906</v>
      </c>
      <c r="N61" s="1">
        <v>57</v>
      </c>
    </row>
    <row r="62" spans="2:14" ht="20.100000000000001" customHeight="1" x14ac:dyDescent="0.2">
      <c r="B62" s="1" t="s">
        <v>686</v>
      </c>
      <c r="C62" s="1">
        <v>1000</v>
      </c>
      <c r="D62" s="6" t="s">
        <v>678</v>
      </c>
      <c r="E62" s="9">
        <v>60</v>
      </c>
      <c r="M62" s="1" t="s">
        <v>951</v>
      </c>
      <c r="N62" s="1">
        <v>58</v>
      </c>
    </row>
    <row r="63" spans="2:14" ht="20.100000000000001" customHeight="1" x14ac:dyDescent="0.2">
      <c r="B63" s="1" t="s">
        <v>750</v>
      </c>
      <c r="C63" s="1">
        <v>1000</v>
      </c>
      <c r="D63" s="6" t="s">
        <v>743</v>
      </c>
      <c r="E63" s="9">
        <v>61</v>
      </c>
      <c r="M63" s="1" t="s">
        <v>768</v>
      </c>
      <c r="N63" s="1">
        <v>59</v>
      </c>
    </row>
    <row r="64" spans="2:14" ht="20.100000000000001" customHeight="1" x14ac:dyDescent="0.2">
      <c r="B64" s="1" t="s">
        <v>386</v>
      </c>
      <c r="C64" s="1">
        <v>1</v>
      </c>
      <c r="D64" s="6" t="s">
        <v>386</v>
      </c>
      <c r="E64" s="9">
        <v>62</v>
      </c>
      <c r="M64" s="1" t="s">
        <v>686</v>
      </c>
      <c r="N64" s="1">
        <v>60</v>
      </c>
    </row>
    <row r="65" spans="2:14" ht="20.100000000000001" customHeight="1" x14ac:dyDescent="0.2">
      <c r="B65" s="1" t="s">
        <v>941</v>
      </c>
      <c r="C65" s="1">
        <v>500</v>
      </c>
      <c r="D65" s="6" t="s">
        <v>678</v>
      </c>
      <c r="E65" s="9">
        <v>63</v>
      </c>
      <c r="M65" s="1" t="s">
        <v>750</v>
      </c>
      <c r="N65" s="1">
        <v>61</v>
      </c>
    </row>
    <row r="66" spans="2:14" ht="20.100000000000001" customHeight="1" x14ac:dyDescent="0.2">
      <c r="B66" s="1" t="s">
        <v>391</v>
      </c>
      <c r="C66" s="1">
        <v>1</v>
      </c>
      <c r="D66" s="6" t="s">
        <v>391</v>
      </c>
      <c r="E66" s="9">
        <v>64</v>
      </c>
      <c r="M66" s="1" t="s">
        <v>386</v>
      </c>
      <c r="N66" s="1">
        <v>62</v>
      </c>
    </row>
    <row r="67" spans="2:14" ht="20.100000000000001" customHeight="1" x14ac:dyDescent="0.2">
      <c r="B67"/>
      <c r="C67"/>
      <c r="D67"/>
      <c r="M67" s="1" t="s">
        <v>941</v>
      </c>
      <c r="N67" s="1">
        <v>63</v>
      </c>
    </row>
    <row r="68" spans="2:14" ht="20.100000000000001" customHeight="1" x14ac:dyDescent="0.2">
      <c r="B68"/>
      <c r="C68"/>
      <c r="D68"/>
      <c r="M68" s="1" t="s">
        <v>391</v>
      </c>
      <c r="N68" s="1">
        <v>64</v>
      </c>
    </row>
    <row r="69" spans="2:14" ht="20.100000000000001" customHeight="1" x14ac:dyDescent="0.2">
      <c r="B69"/>
      <c r="C69"/>
      <c r="D69"/>
      <c r="N69" s="1" t="s">
        <v>686</v>
      </c>
    </row>
    <row r="70" spans="2:14" ht="20.100000000000001" customHeight="1" x14ac:dyDescent="0.2">
      <c r="B70"/>
      <c r="C70"/>
      <c r="D70"/>
      <c r="N70" s="1" t="s">
        <v>686</v>
      </c>
    </row>
    <row r="71" spans="2:14" ht="20.100000000000001" customHeight="1" x14ac:dyDescent="0.2">
      <c r="B71"/>
      <c r="C71"/>
      <c r="D71"/>
      <c r="N71" s="1" t="s">
        <v>686</v>
      </c>
    </row>
    <row r="72" spans="2:14" ht="20.100000000000001" customHeight="1" x14ac:dyDescent="0.2">
      <c r="B72"/>
      <c r="C72"/>
      <c r="D72"/>
      <c r="N72" s="1" t="s">
        <v>686</v>
      </c>
    </row>
    <row r="73" spans="2:14" ht="20.100000000000001" customHeight="1" x14ac:dyDescent="0.2">
      <c r="B73"/>
      <c r="C73"/>
      <c r="D73"/>
      <c r="N73" s="1" t="s">
        <v>686</v>
      </c>
    </row>
    <row r="74" spans="2:14" ht="20.100000000000001" customHeight="1" x14ac:dyDescent="0.2">
      <c r="B74"/>
      <c r="C74"/>
      <c r="D74"/>
      <c r="N74" s="1" t="s">
        <v>686</v>
      </c>
    </row>
    <row r="75" spans="2:14" ht="20.100000000000001" customHeight="1" x14ac:dyDescent="0.2">
      <c r="B75"/>
      <c r="C75"/>
      <c r="D75"/>
      <c r="N75" s="1" t="s">
        <v>686</v>
      </c>
    </row>
    <row r="76" spans="2:14" ht="20.100000000000001" customHeight="1" x14ac:dyDescent="0.2">
      <c r="B76"/>
      <c r="C76"/>
      <c r="D76"/>
      <c r="N76" s="1" t="s">
        <v>686</v>
      </c>
    </row>
    <row r="77" spans="2:14" ht="20.100000000000001" customHeight="1" x14ac:dyDescent="0.2">
      <c r="B77"/>
      <c r="C77"/>
      <c r="D77"/>
      <c r="N77" s="1" t="s">
        <v>742</v>
      </c>
    </row>
    <row r="78" spans="2:14" ht="20.100000000000001" customHeight="1" x14ac:dyDescent="0.2">
      <c r="B78"/>
      <c r="C78"/>
      <c r="D78"/>
      <c r="N78" s="1" t="s">
        <v>742</v>
      </c>
    </row>
    <row r="79" spans="2:14" ht="20.100000000000001" customHeight="1" x14ac:dyDescent="0.2">
      <c r="B79"/>
      <c r="C79"/>
      <c r="D79"/>
      <c r="N79" s="1" t="s">
        <v>742</v>
      </c>
    </row>
    <row r="80" spans="2:14" ht="20.100000000000001" customHeight="1" x14ac:dyDescent="0.2">
      <c r="B80"/>
      <c r="C80"/>
      <c r="D80"/>
      <c r="N80" s="1" t="s">
        <v>686</v>
      </c>
    </row>
    <row r="81" spans="2:14" ht="20.100000000000001" customHeight="1" x14ac:dyDescent="0.2">
      <c r="B81"/>
      <c r="C81"/>
      <c r="D81"/>
      <c r="N81" s="1" t="s">
        <v>686</v>
      </c>
    </row>
    <row r="82" spans="2:14" ht="20.100000000000001" customHeight="1" x14ac:dyDescent="0.2">
      <c r="B82"/>
      <c r="C82"/>
      <c r="D82"/>
      <c r="N82" s="1" t="s">
        <v>918</v>
      </c>
    </row>
    <row r="83" spans="2:14" ht="20.100000000000001" customHeight="1" x14ac:dyDescent="0.2">
      <c r="B83"/>
      <c r="C83"/>
      <c r="D83"/>
      <c r="N83" s="1" t="s">
        <v>742</v>
      </c>
    </row>
    <row r="84" spans="2:14" ht="20.100000000000001" customHeight="1" x14ac:dyDescent="0.2">
      <c r="B84"/>
      <c r="C84"/>
      <c r="D84"/>
      <c r="N84" s="1" t="s">
        <v>742</v>
      </c>
    </row>
    <row r="85" spans="2:14" ht="20.100000000000001" customHeight="1" x14ac:dyDescent="0.2">
      <c r="B85"/>
      <c r="C85"/>
      <c r="D85"/>
      <c r="N85" s="1" t="s">
        <v>742</v>
      </c>
    </row>
    <row r="86" spans="2:14" ht="20.100000000000001" customHeight="1" x14ac:dyDescent="0.2">
      <c r="B86"/>
      <c r="C86"/>
      <c r="D86"/>
      <c r="N86" s="1" t="s">
        <v>742</v>
      </c>
    </row>
    <row r="87" spans="2:14" ht="20.100000000000001" customHeight="1" x14ac:dyDescent="0.2">
      <c r="B87"/>
      <c r="C87"/>
      <c r="D87"/>
      <c r="N87" s="1" t="s">
        <v>686</v>
      </c>
    </row>
    <row r="88" spans="2:14" ht="20.100000000000001" customHeight="1" x14ac:dyDescent="0.2">
      <c r="B88"/>
      <c r="C88"/>
      <c r="D88"/>
      <c r="N88" s="1" t="s">
        <v>762</v>
      </c>
    </row>
    <row r="89" spans="2:14" ht="20.100000000000001" customHeight="1" x14ac:dyDescent="0.2">
      <c r="B89"/>
      <c r="C89"/>
      <c r="D89"/>
      <c r="N89" s="1" t="s">
        <v>941</v>
      </c>
    </row>
    <row r="90" spans="2:14" ht="20.100000000000001" customHeight="1" x14ac:dyDescent="0.2">
      <c r="B90"/>
      <c r="C90"/>
      <c r="D90"/>
      <c r="N90" s="1" t="s">
        <v>686</v>
      </c>
    </row>
    <row r="91" spans="2:14" ht="20.100000000000001" customHeight="1" x14ac:dyDescent="0.2">
      <c r="B91"/>
      <c r="C91"/>
      <c r="D91"/>
      <c r="N91" s="1" t="s">
        <v>776</v>
      </c>
    </row>
    <row r="92" spans="2:14" ht="20.100000000000001" customHeight="1" x14ac:dyDescent="0.2">
      <c r="B92"/>
      <c r="C92"/>
      <c r="D92"/>
      <c r="N92" s="1" t="s">
        <v>776</v>
      </c>
    </row>
    <row r="93" spans="2:14" ht="20.100000000000001" customHeight="1" x14ac:dyDescent="0.2">
      <c r="B93"/>
      <c r="C93"/>
      <c r="D93"/>
      <c r="N93" s="1" t="s">
        <v>922</v>
      </c>
    </row>
    <row r="94" spans="2:14" ht="20.100000000000001" customHeight="1" x14ac:dyDescent="0.2">
      <c r="B94"/>
      <c r="C94"/>
      <c r="D94"/>
      <c r="N94" s="1" t="s">
        <v>776</v>
      </c>
    </row>
    <row r="95" spans="2:14" ht="20.100000000000001" customHeight="1" x14ac:dyDescent="0.2">
      <c r="B95"/>
      <c r="C95"/>
      <c r="D95"/>
      <c r="N95" s="1" t="s">
        <v>686</v>
      </c>
    </row>
    <row r="96" spans="2:14" ht="20.100000000000001" customHeight="1" x14ac:dyDescent="0.2">
      <c r="B96"/>
      <c r="C96"/>
      <c r="D96"/>
      <c r="N96" s="1" t="s">
        <v>746</v>
      </c>
    </row>
    <row r="97" spans="2:14" ht="20.100000000000001" customHeight="1" x14ac:dyDescent="0.2">
      <c r="B97"/>
      <c r="C97"/>
      <c r="D97"/>
      <c r="N97" s="1" t="s">
        <v>745</v>
      </c>
    </row>
    <row r="98" spans="2:14" ht="20.100000000000001" customHeight="1" x14ac:dyDescent="0.2">
      <c r="B98"/>
      <c r="C98"/>
      <c r="D98"/>
      <c r="N98" s="1" t="s">
        <v>776</v>
      </c>
    </row>
    <row r="99" spans="2:14" ht="20.100000000000001" customHeight="1" x14ac:dyDescent="0.2">
      <c r="B99"/>
      <c r="C99"/>
      <c r="D99"/>
      <c r="N99" s="1" t="s">
        <v>689</v>
      </c>
    </row>
    <row r="100" spans="2:14" ht="20.100000000000001" customHeight="1" x14ac:dyDescent="0.2">
      <c r="B100"/>
      <c r="C100"/>
      <c r="D100"/>
      <c r="N100" s="1" t="s">
        <v>747</v>
      </c>
    </row>
    <row r="101" spans="2:14" ht="20.100000000000001" customHeight="1" x14ac:dyDescent="0.2">
      <c r="B101"/>
      <c r="C101"/>
      <c r="D101"/>
      <c r="N101" s="1" t="s">
        <v>382</v>
      </c>
    </row>
    <row r="102" spans="2:14" ht="20.100000000000001" customHeight="1" x14ac:dyDescent="0.2">
      <c r="B102"/>
      <c r="C102"/>
      <c r="D102"/>
      <c r="N102" s="1" t="s">
        <v>687</v>
      </c>
    </row>
    <row r="103" spans="2:14" ht="20.100000000000001" customHeight="1" x14ac:dyDescent="0.2">
      <c r="B103"/>
      <c r="C103"/>
      <c r="D103"/>
      <c r="N103" s="1" t="s">
        <v>942</v>
      </c>
    </row>
    <row r="104" spans="2:14" ht="20.100000000000001" customHeight="1" x14ac:dyDescent="0.2">
      <c r="B104"/>
      <c r="C104"/>
      <c r="D104"/>
      <c r="N104" s="1" t="s">
        <v>786</v>
      </c>
    </row>
    <row r="105" spans="2:14" ht="20.100000000000001" customHeight="1" x14ac:dyDescent="0.2">
      <c r="B105"/>
      <c r="C105"/>
      <c r="D105"/>
      <c r="N105" s="1" t="s">
        <v>755</v>
      </c>
    </row>
    <row r="106" spans="2:14" ht="20.100000000000001" customHeight="1" x14ac:dyDescent="0.2">
      <c r="B106"/>
      <c r="C106"/>
      <c r="D106"/>
      <c r="N106" s="1" t="s">
        <v>879</v>
      </c>
    </row>
    <row r="107" spans="2:14" ht="20.100000000000001" customHeight="1" x14ac:dyDescent="0.2">
      <c r="B107"/>
      <c r="C107"/>
      <c r="D107"/>
      <c r="N107" s="1" t="s">
        <v>686</v>
      </c>
    </row>
    <row r="108" spans="2:14" ht="20.100000000000001" customHeight="1" x14ac:dyDescent="0.2">
      <c r="B108"/>
      <c r="C108"/>
      <c r="D108"/>
      <c r="N108" s="1" t="s">
        <v>920</v>
      </c>
    </row>
    <row r="109" spans="2:14" ht="20.100000000000001" customHeight="1" x14ac:dyDescent="0.2">
      <c r="B109"/>
      <c r="C109"/>
      <c r="D109"/>
      <c r="N109" s="1" t="s">
        <v>776</v>
      </c>
    </row>
    <row r="110" spans="2:14" ht="20.100000000000001" customHeight="1" x14ac:dyDescent="0.2">
      <c r="B110"/>
      <c r="C110"/>
      <c r="D110"/>
      <c r="N110" s="1" t="s">
        <v>776</v>
      </c>
    </row>
    <row r="111" spans="2:14" ht="20.100000000000001" customHeight="1" x14ac:dyDescent="0.2">
      <c r="B111"/>
      <c r="C111"/>
      <c r="D111"/>
      <c r="N111" s="1" t="s">
        <v>776</v>
      </c>
    </row>
    <row r="112" spans="2:14" ht="20.100000000000001" customHeight="1" x14ac:dyDescent="0.2">
      <c r="B112"/>
      <c r="C112"/>
      <c r="D112"/>
      <c r="N112" s="1" t="s">
        <v>776</v>
      </c>
    </row>
    <row r="113" spans="2:14" ht="20.100000000000001" customHeight="1" x14ac:dyDescent="0.2">
      <c r="B113"/>
      <c r="C113"/>
      <c r="D113"/>
      <c r="N113" s="1" t="s">
        <v>776</v>
      </c>
    </row>
    <row r="114" spans="2:14" ht="20.100000000000001" customHeight="1" x14ac:dyDescent="0.2">
      <c r="B114"/>
      <c r="C114"/>
      <c r="D114"/>
      <c r="N114" s="1" t="s">
        <v>776</v>
      </c>
    </row>
    <row r="115" spans="2:14" ht="20.100000000000001" customHeight="1" x14ac:dyDescent="0.2">
      <c r="B115"/>
      <c r="C115"/>
      <c r="D115"/>
      <c r="N115" s="1" t="s">
        <v>776</v>
      </c>
    </row>
    <row r="116" spans="2:14" ht="20.100000000000001" customHeight="1" x14ac:dyDescent="0.2">
      <c r="B116"/>
      <c r="C116"/>
      <c r="D116"/>
      <c r="N116" s="1" t="s">
        <v>776</v>
      </c>
    </row>
    <row r="117" spans="2:14" ht="20.100000000000001" customHeight="1" x14ac:dyDescent="0.2">
      <c r="B117"/>
      <c r="C117"/>
      <c r="D117"/>
      <c r="N117" s="1" t="s">
        <v>776</v>
      </c>
    </row>
    <row r="118" spans="2:14" ht="20.100000000000001" customHeight="1" x14ac:dyDescent="0.2">
      <c r="B118"/>
      <c r="C118"/>
      <c r="D118"/>
      <c r="N118" s="1" t="s">
        <v>776</v>
      </c>
    </row>
    <row r="119" spans="2:14" ht="20.100000000000001" customHeight="1" x14ac:dyDescent="0.2">
      <c r="B119"/>
      <c r="C119"/>
      <c r="D119"/>
      <c r="N119" s="1" t="s">
        <v>776</v>
      </c>
    </row>
    <row r="120" spans="2:14" ht="20.100000000000001" customHeight="1" x14ac:dyDescent="0.2">
      <c r="B120"/>
      <c r="C120"/>
      <c r="D120"/>
      <c r="N120" s="1" t="s">
        <v>776</v>
      </c>
    </row>
    <row r="121" spans="2:14" ht="20.100000000000001" customHeight="1" x14ac:dyDescent="0.2">
      <c r="B121"/>
      <c r="C121"/>
      <c r="D121"/>
      <c r="N121" s="1" t="s">
        <v>776</v>
      </c>
    </row>
    <row r="122" spans="2:14" ht="20.100000000000001" customHeight="1" x14ac:dyDescent="0.2">
      <c r="B122"/>
      <c r="C122"/>
      <c r="D122"/>
      <c r="N122" s="1" t="s">
        <v>776</v>
      </c>
    </row>
    <row r="123" spans="2:14" ht="20.100000000000001" customHeight="1" x14ac:dyDescent="0.2">
      <c r="B123"/>
      <c r="C123"/>
      <c r="D123"/>
      <c r="N123" s="1" t="s">
        <v>742</v>
      </c>
    </row>
    <row r="124" spans="2:14" ht="20.100000000000001" customHeight="1" x14ac:dyDescent="0.2">
      <c r="B124"/>
      <c r="C124"/>
      <c r="D124"/>
      <c r="N124" s="1" t="s">
        <v>742</v>
      </c>
    </row>
    <row r="125" spans="2:14" ht="20.100000000000001" customHeight="1" x14ac:dyDescent="0.2">
      <c r="B125"/>
      <c r="C125"/>
      <c r="D125"/>
      <c r="N125" s="1" t="s">
        <v>742</v>
      </c>
    </row>
    <row r="126" spans="2:14" ht="20.100000000000001" customHeight="1" x14ac:dyDescent="0.2">
      <c r="B126"/>
      <c r="C126"/>
      <c r="D126"/>
      <c r="N126" s="1" t="s">
        <v>742</v>
      </c>
    </row>
    <row r="127" spans="2:14" ht="20.100000000000001" customHeight="1" x14ac:dyDescent="0.2">
      <c r="B127"/>
      <c r="C127"/>
      <c r="D127"/>
      <c r="N127" s="1" t="s">
        <v>742</v>
      </c>
    </row>
    <row r="128" spans="2:14" ht="20.100000000000001" customHeight="1" x14ac:dyDescent="0.2">
      <c r="B128"/>
      <c r="C128"/>
      <c r="D128"/>
      <c r="N128" s="1" t="s">
        <v>742</v>
      </c>
    </row>
    <row r="129" spans="2:14" ht="20.100000000000001" customHeight="1" x14ac:dyDescent="0.2">
      <c r="B129"/>
      <c r="C129"/>
      <c r="D129"/>
      <c r="N129" s="1" t="s">
        <v>742</v>
      </c>
    </row>
    <row r="130" spans="2:14" ht="20.100000000000001" customHeight="1" x14ac:dyDescent="0.2">
      <c r="B130"/>
      <c r="C130"/>
      <c r="D130"/>
      <c r="N130" s="1" t="s">
        <v>742</v>
      </c>
    </row>
    <row r="131" spans="2:14" ht="20.100000000000001" customHeight="1" x14ac:dyDescent="0.2">
      <c r="B131"/>
      <c r="C131"/>
      <c r="D131"/>
      <c r="N131" s="1" t="s">
        <v>686</v>
      </c>
    </row>
    <row r="132" spans="2:14" ht="20.100000000000001" customHeight="1" x14ac:dyDescent="0.2">
      <c r="B132"/>
      <c r="C132"/>
      <c r="D132"/>
      <c r="N132" s="1" t="s">
        <v>883</v>
      </c>
    </row>
    <row r="133" spans="2:14" ht="20.100000000000001" customHeight="1" x14ac:dyDescent="0.2">
      <c r="B133"/>
      <c r="C133"/>
      <c r="D133"/>
      <c r="N133" s="1" t="s">
        <v>692</v>
      </c>
    </row>
    <row r="134" spans="2:14" ht="20.100000000000001" customHeight="1" x14ac:dyDescent="0.2">
      <c r="B134"/>
      <c r="C134"/>
      <c r="D134"/>
      <c r="N134" s="1" t="s">
        <v>686</v>
      </c>
    </row>
    <row r="135" spans="2:14" ht="20.100000000000001" customHeight="1" x14ac:dyDescent="0.2">
      <c r="B135"/>
      <c r="C135"/>
      <c r="D135"/>
      <c r="N135" s="1" t="s">
        <v>686</v>
      </c>
    </row>
    <row r="136" spans="2:14" ht="20.100000000000001" customHeight="1" x14ac:dyDescent="0.2">
      <c r="B136"/>
      <c r="C136"/>
      <c r="D136"/>
      <c r="N136" s="1" t="s">
        <v>787</v>
      </c>
    </row>
    <row r="137" spans="2:14" ht="20.100000000000001" customHeight="1" x14ac:dyDescent="0.2">
      <c r="B137"/>
      <c r="C137"/>
      <c r="D137"/>
      <c r="N137" s="1" t="s">
        <v>761</v>
      </c>
    </row>
    <row r="138" spans="2:14" ht="20.100000000000001" customHeight="1" x14ac:dyDescent="0.2">
      <c r="B138"/>
      <c r="C138"/>
      <c r="D138"/>
      <c r="N138" s="1" t="s">
        <v>686</v>
      </c>
    </row>
    <row r="139" spans="2:14" ht="20.100000000000001" customHeight="1" x14ac:dyDescent="0.2">
      <c r="B139"/>
      <c r="C139"/>
      <c r="D139"/>
      <c r="N139" s="1" t="s">
        <v>686</v>
      </c>
    </row>
    <row r="140" spans="2:14" ht="20.100000000000001" customHeight="1" x14ac:dyDescent="0.2">
      <c r="B140"/>
      <c r="C140"/>
      <c r="D140"/>
      <c r="N140" s="1" t="s">
        <v>686</v>
      </c>
    </row>
    <row r="141" spans="2:14" ht="20.100000000000001" customHeight="1" x14ac:dyDescent="0.2">
      <c r="B141"/>
      <c r="C141"/>
      <c r="D141"/>
      <c r="N141" s="1" t="s">
        <v>686</v>
      </c>
    </row>
    <row r="142" spans="2:14" ht="20.100000000000001" customHeight="1" x14ac:dyDescent="0.2">
      <c r="B142"/>
      <c r="C142"/>
      <c r="D142"/>
      <c r="N142" s="1" t="s">
        <v>686</v>
      </c>
    </row>
    <row r="143" spans="2:14" ht="20.100000000000001" customHeight="1" x14ac:dyDescent="0.2">
      <c r="B143"/>
      <c r="C143"/>
      <c r="D143"/>
      <c r="N143" s="1" t="s">
        <v>886</v>
      </c>
    </row>
    <row r="144" spans="2:14" ht="20.100000000000001" customHeight="1" x14ac:dyDescent="0.2">
      <c r="B144"/>
      <c r="C144"/>
      <c r="D144"/>
      <c r="N144" s="1" t="s">
        <v>686</v>
      </c>
    </row>
    <row r="145" spans="2:14" ht="20.100000000000001" customHeight="1" x14ac:dyDescent="0.2">
      <c r="B145"/>
      <c r="C145"/>
      <c r="D145"/>
      <c r="N145" s="1" t="s">
        <v>686</v>
      </c>
    </row>
    <row r="146" spans="2:14" ht="20.100000000000001" customHeight="1" x14ac:dyDescent="0.2">
      <c r="B146"/>
      <c r="C146"/>
      <c r="D146"/>
      <c r="N146" s="1" t="s">
        <v>886</v>
      </c>
    </row>
    <row r="147" spans="2:14" ht="20.100000000000001" customHeight="1" x14ac:dyDescent="0.2">
      <c r="B147"/>
      <c r="C147"/>
      <c r="D147"/>
      <c r="N147" s="1" t="s">
        <v>886</v>
      </c>
    </row>
    <row r="148" spans="2:14" ht="20.100000000000001" customHeight="1" x14ac:dyDescent="0.2">
      <c r="B148"/>
      <c r="C148"/>
      <c r="D148"/>
      <c r="N148" s="1" t="s">
        <v>886</v>
      </c>
    </row>
    <row r="149" spans="2:14" ht="20.100000000000001" customHeight="1" x14ac:dyDescent="0.2">
      <c r="B149"/>
      <c r="C149"/>
      <c r="D149"/>
      <c r="N149" s="1" t="s">
        <v>943</v>
      </c>
    </row>
    <row r="150" spans="2:14" ht="20.100000000000001" customHeight="1" x14ac:dyDescent="0.2">
      <c r="B150"/>
      <c r="C150"/>
      <c r="D150"/>
      <c r="N150" s="1" t="s">
        <v>886</v>
      </c>
    </row>
    <row r="151" spans="2:14" ht="20.100000000000001" customHeight="1" x14ac:dyDescent="0.2">
      <c r="B151"/>
      <c r="C151"/>
      <c r="D151"/>
      <c r="N151" s="1" t="s">
        <v>886</v>
      </c>
    </row>
    <row r="152" spans="2:14" ht="20.100000000000001" customHeight="1" x14ac:dyDescent="0.2">
      <c r="B152"/>
      <c r="C152"/>
      <c r="D152"/>
      <c r="N152" s="1" t="s">
        <v>761</v>
      </c>
    </row>
    <row r="153" spans="2:14" ht="20.100000000000001" customHeight="1" x14ac:dyDescent="0.2">
      <c r="B153"/>
      <c r="C153"/>
      <c r="D153"/>
      <c r="N153" s="1" t="s">
        <v>761</v>
      </c>
    </row>
    <row r="154" spans="2:14" ht="20.100000000000001" customHeight="1" x14ac:dyDescent="0.2">
      <c r="B154"/>
      <c r="C154"/>
      <c r="D154"/>
      <c r="N154" s="1" t="s">
        <v>761</v>
      </c>
    </row>
    <row r="155" spans="2:14" ht="20.100000000000001" customHeight="1" x14ac:dyDescent="0.2">
      <c r="B155"/>
      <c r="C155"/>
      <c r="D155"/>
      <c r="N155" s="1" t="s">
        <v>686</v>
      </c>
    </row>
    <row r="156" spans="2:14" ht="20.100000000000001" customHeight="1" x14ac:dyDescent="0.2">
      <c r="B156"/>
      <c r="C156"/>
      <c r="D156"/>
      <c r="N156" s="1" t="s">
        <v>381</v>
      </c>
    </row>
    <row r="157" spans="2:14" ht="20.100000000000001" customHeight="1" x14ac:dyDescent="0.2">
      <c r="B157"/>
      <c r="C157"/>
      <c r="D157"/>
      <c r="N157" s="1" t="s">
        <v>759</v>
      </c>
    </row>
    <row r="158" spans="2:14" ht="20.100000000000001" customHeight="1" x14ac:dyDescent="0.2">
      <c r="B158"/>
      <c r="C158"/>
      <c r="D158"/>
      <c r="N158" s="1" t="s">
        <v>381</v>
      </c>
    </row>
    <row r="159" spans="2:14" ht="20.100000000000001" customHeight="1" x14ac:dyDescent="0.2">
      <c r="B159"/>
      <c r="C159"/>
      <c r="D159"/>
      <c r="N159" s="1" t="s">
        <v>381</v>
      </c>
    </row>
    <row r="160" spans="2:14" ht="20.100000000000001" customHeight="1" x14ac:dyDescent="0.2">
      <c r="B160"/>
      <c r="C160"/>
      <c r="D160"/>
      <c r="N160" s="1" t="s">
        <v>381</v>
      </c>
    </row>
    <row r="161" spans="2:14" ht="20.100000000000001" customHeight="1" x14ac:dyDescent="0.2">
      <c r="B161"/>
      <c r="C161"/>
      <c r="D161"/>
      <c r="N161" s="1" t="s">
        <v>742</v>
      </c>
    </row>
    <row r="162" spans="2:14" ht="20.100000000000001" customHeight="1" x14ac:dyDescent="0.2">
      <c r="B162"/>
      <c r="C162"/>
      <c r="D162"/>
      <c r="N162" s="1" t="s">
        <v>944</v>
      </c>
    </row>
    <row r="163" spans="2:14" ht="20.100000000000001" customHeight="1" x14ac:dyDescent="0.2">
      <c r="B163"/>
      <c r="C163"/>
      <c r="D163"/>
      <c r="N163" s="1" t="s">
        <v>944</v>
      </c>
    </row>
    <row r="164" spans="2:14" ht="20.100000000000001" customHeight="1" x14ac:dyDescent="0.2">
      <c r="B164"/>
      <c r="C164"/>
      <c r="D164"/>
      <c r="N164" s="1" t="s">
        <v>944</v>
      </c>
    </row>
    <row r="165" spans="2:14" ht="20.100000000000001" customHeight="1" x14ac:dyDescent="0.2">
      <c r="B165"/>
      <c r="C165"/>
      <c r="D165"/>
      <c r="N165" s="1" t="s">
        <v>944</v>
      </c>
    </row>
    <row r="166" spans="2:14" ht="20.100000000000001" customHeight="1" x14ac:dyDescent="0.2">
      <c r="B166"/>
      <c r="C166"/>
      <c r="D166"/>
      <c r="N166" s="1" t="s">
        <v>944</v>
      </c>
    </row>
    <row r="167" spans="2:14" ht="20.100000000000001" customHeight="1" x14ac:dyDescent="0.2">
      <c r="B167"/>
      <c r="C167"/>
      <c r="D167"/>
      <c r="N167" s="1" t="s">
        <v>944</v>
      </c>
    </row>
    <row r="168" spans="2:14" ht="20.100000000000001" customHeight="1" x14ac:dyDescent="0.2">
      <c r="B168"/>
      <c r="C168"/>
      <c r="D168"/>
      <c r="N168" s="1" t="s">
        <v>944</v>
      </c>
    </row>
    <row r="169" spans="2:14" ht="20.100000000000001" customHeight="1" x14ac:dyDescent="0.2">
      <c r="B169"/>
      <c r="C169"/>
      <c r="D169"/>
      <c r="N169" s="1" t="s">
        <v>944</v>
      </c>
    </row>
    <row r="170" spans="2:14" ht="20.100000000000001" customHeight="1" x14ac:dyDescent="0.2">
      <c r="B170"/>
      <c r="C170"/>
      <c r="D170"/>
      <c r="N170" s="1" t="s">
        <v>944</v>
      </c>
    </row>
    <row r="171" spans="2:14" ht="20.100000000000001" customHeight="1" x14ac:dyDescent="0.2">
      <c r="B171"/>
      <c r="C171"/>
      <c r="D171"/>
      <c r="N171" s="1" t="s">
        <v>944</v>
      </c>
    </row>
    <row r="172" spans="2:14" ht="20.100000000000001" customHeight="1" x14ac:dyDescent="0.2">
      <c r="B172"/>
      <c r="C172"/>
      <c r="D172"/>
      <c r="N172" s="1" t="s">
        <v>944</v>
      </c>
    </row>
    <row r="173" spans="2:14" ht="20.100000000000001" customHeight="1" x14ac:dyDescent="0.2">
      <c r="B173"/>
      <c r="C173"/>
      <c r="D173"/>
      <c r="N173" s="1" t="s">
        <v>944</v>
      </c>
    </row>
    <row r="174" spans="2:14" ht="20.100000000000001" customHeight="1" x14ac:dyDescent="0.2">
      <c r="B174"/>
      <c r="C174"/>
      <c r="D174"/>
      <c r="N174" s="1" t="s">
        <v>944</v>
      </c>
    </row>
    <row r="175" spans="2:14" ht="20.100000000000001" customHeight="1" x14ac:dyDescent="0.2">
      <c r="B175"/>
      <c r="C175"/>
      <c r="D175"/>
      <c r="N175" s="1" t="s">
        <v>944</v>
      </c>
    </row>
    <row r="176" spans="2:14" ht="20.100000000000001" customHeight="1" x14ac:dyDescent="0.2">
      <c r="B176"/>
      <c r="C176"/>
      <c r="D176"/>
      <c r="N176" s="1" t="s">
        <v>686</v>
      </c>
    </row>
    <row r="177" spans="2:14" ht="20.100000000000001" customHeight="1" x14ac:dyDescent="0.2">
      <c r="B177"/>
      <c r="C177"/>
      <c r="D177"/>
      <c r="N177" s="1" t="s">
        <v>686</v>
      </c>
    </row>
    <row r="178" spans="2:14" ht="20.100000000000001" customHeight="1" x14ac:dyDescent="0.2">
      <c r="B178"/>
      <c r="C178"/>
      <c r="D178"/>
      <c r="N178" s="1" t="s">
        <v>945</v>
      </c>
    </row>
    <row r="179" spans="2:14" ht="20.100000000000001" customHeight="1" x14ac:dyDescent="0.2">
      <c r="B179"/>
      <c r="C179"/>
      <c r="D179"/>
      <c r="N179" s="1" t="s">
        <v>946</v>
      </c>
    </row>
    <row r="180" spans="2:14" ht="20.100000000000001" customHeight="1" x14ac:dyDescent="0.2">
      <c r="B180"/>
      <c r="C180"/>
      <c r="D180"/>
      <c r="N180" s="1" t="s">
        <v>686</v>
      </c>
    </row>
    <row r="181" spans="2:14" ht="20.100000000000001" customHeight="1" x14ac:dyDescent="0.2">
      <c r="B181"/>
      <c r="C181"/>
      <c r="D181"/>
      <c r="N181" s="1" t="s">
        <v>686</v>
      </c>
    </row>
    <row r="182" spans="2:14" ht="20.100000000000001" customHeight="1" x14ac:dyDescent="0.2">
      <c r="B182"/>
      <c r="C182"/>
      <c r="D182"/>
      <c r="N182" s="1" t="s">
        <v>686</v>
      </c>
    </row>
    <row r="183" spans="2:14" ht="20.100000000000001" customHeight="1" x14ac:dyDescent="0.2">
      <c r="B183"/>
      <c r="C183"/>
      <c r="D183"/>
      <c r="N183" s="1" t="s">
        <v>686</v>
      </c>
    </row>
    <row r="184" spans="2:14" ht="20.100000000000001" customHeight="1" x14ac:dyDescent="0.2">
      <c r="B184"/>
      <c r="C184"/>
      <c r="D184"/>
      <c r="N184" s="1" t="s">
        <v>686</v>
      </c>
    </row>
    <row r="185" spans="2:14" ht="20.100000000000001" customHeight="1" x14ac:dyDescent="0.2">
      <c r="B185"/>
      <c r="C185"/>
      <c r="D185"/>
      <c r="N185" s="1" t="s">
        <v>686</v>
      </c>
    </row>
    <row r="186" spans="2:14" ht="20.100000000000001" customHeight="1" x14ac:dyDescent="0.2">
      <c r="B186"/>
      <c r="C186"/>
      <c r="D186"/>
      <c r="N186" s="1" t="s">
        <v>762</v>
      </c>
    </row>
    <row r="187" spans="2:14" ht="20.100000000000001" customHeight="1" x14ac:dyDescent="0.2">
      <c r="B187"/>
      <c r="C187"/>
      <c r="D187"/>
      <c r="N187" s="1" t="s">
        <v>762</v>
      </c>
    </row>
    <row r="188" spans="2:14" ht="20.100000000000001" customHeight="1" x14ac:dyDescent="0.2">
      <c r="B188"/>
      <c r="C188"/>
      <c r="D188"/>
      <c r="N188" s="1" t="s">
        <v>894</v>
      </c>
    </row>
    <row r="189" spans="2:14" ht="20.100000000000001" customHeight="1" x14ac:dyDescent="0.2">
      <c r="B189"/>
      <c r="C189"/>
      <c r="D189"/>
      <c r="N189" s="1" t="s">
        <v>894</v>
      </c>
    </row>
    <row r="190" spans="2:14" ht="20.100000000000001" customHeight="1" x14ac:dyDescent="0.2">
      <c r="B190"/>
      <c r="C190"/>
      <c r="D190"/>
      <c r="N190" s="1" t="s">
        <v>686</v>
      </c>
    </row>
    <row r="191" spans="2:14" ht="20.100000000000001" customHeight="1" x14ac:dyDescent="0.2">
      <c r="B191"/>
      <c r="C191"/>
      <c r="D191"/>
      <c r="N191" s="1" t="s">
        <v>762</v>
      </c>
    </row>
    <row r="192" spans="2:14" ht="20.100000000000001" customHeight="1" x14ac:dyDescent="0.2">
      <c r="B192"/>
      <c r="C192"/>
      <c r="D192"/>
      <c r="N192" s="1" t="s">
        <v>686</v>
      </c>
    </row>
    <row r="193" spans="2:14" ht="20.100000000000001" customHeight="1" x14ac:dyDescent="0.2">
      <c r="B193"/>
      <c r="C193"/>
      <c r="D193"/>
      <c r="N193" s="1" t="s">
        <v>686</v>
      </c>
    </row>
    <row r="194" spans="2:14" ht="20.100000000000001" customHeight="1" x14ac:dyDescent="0.2">
      <c r="B194"/>
      <c r="C194"/>
      <c r="D194"/>
      <c r="N194" s="1" t="s">
        <v>686</v>
      </c>
    </row>
    <row r="195" spans="2:14" ht="20.100000000000001" customHeight="1" x14ac:dyDescent="0.2">
      <c r="B195"/>
      <c r="C195"/>
      <c r="D195"/>
      <c r="N195" s="1" t="s">
        <v>686</v>
      </c>
    </row>
    <row r="196" spans="2:14" ht="20.100000000000001" customHeight="1" x14ac:dyDescent="0.2">
      <c r="B196"/>
      <c r="C196"/>
      <c r="D196"/>
      <c r="N196" s="1" t="s">
        <v>776</v>
      </c>
    </row>
    <row r="197" spans="2:14" ht="20.100000000000001" customHeight="1" x14ac:dyDescent="0.2">
      <c r="B197"/>
      <c r="C197"/>
      <c r="D197"/>
      <c r="N197" s="1" t="s">
        <v>776</v>
      </c>
    </row>
    <row r="198" spans="2:14" ht="20.100000000000001" customHeight="1" x14ac:dyDescent="0.2">
      <c r="B198"/>
      <c r="C198"/>
      <c r="D198"/>
      <c r="N198" s="1" t="s">
        <v>776</v>
      </c>
    </row>
    <row r="199" spans="2:14" ht="20.100000000000001" customHeight="1" x14ac:dyDescent="0.2">
      <c r="B199"/>
      <c r="C199"/>
      <c r="D199"/>
      <c r="N199" s="1" t="s">
        <v>686</v>
      </c>
    </row>
    <row r="200" spans="2:14" ht="20.100000000000001" customHeight="1" x14ac:dyDescent="0.2">
      <c r="B200"/>
      <c r="C200"/>
      <c r="D200"/>
      <c r="N200" s="1" t="s">
        <v>947</v>
      </c>
    </row>
    <row r="201" spans="2:14" ht="20.100000000000001" customHeight="1" x14ac:dyDescent="0.2">
      <c r="B201"/>
      <c r="C201"/>
      <c r="D201"/>
      <c r="N201" s="1" t="s">
        <v>686</v>
      </c>
    </row>
    <row r="202" spans="2:14" ht="20.100000000000001" customHeight="1" x14ac:dyDescent="0.2">
      <c r="B202"/>
      <c r="C202"/>
      <c r="D202"/>
      <c r="N202" s="1" t="s">
        <v>686</v>
      </c>
    </row>
    <row r="203" spans="2:14" ht="20.100000000000001" customHeight="1" x14ac:dyDescent="0.2">
      <c r="B203"/>
      <c r="C203"/>
      <c r="D203"/>
      <c r="N203" s="1" t="s">
        <v>686</v>
      </c>
    </row>
    <row r="204" spans="2:14" ht="20.100000000000001" customHeight="1" x14ac:dyDescent="0.2">
      <c r="B204"/>
      <c r="C204"/>
      <c r="D204"/>
      <c r="N204" s="1" t="s">
        <v>686</v>
      </c>
    </row>
    <row r="205" spans="2:14" ht="20.100000000000001" customHeight="1" x14ac:dyDescent="0.2">
      <c r="B205"/>
      <c r="C205"/>
      <c r="D205"/>
      <c r="N205" s="1" t="s">
        <v>686</v>
      </c>
    </row>
    <row r="206" spans="2:14" ht="20.100000000000001" customHeight="1" x14ac:dyDescent="0.2">
      <c r="B206"/>
      <c r="C206"/>
      <c r="D206"/>
      <c r="N206" s="1" t="s">
        <v>686</v>
      </c>
    </row>
    <row r="207" spans="2:14" ht="20.100000000000001" customHeight="1" x14ac:dyDescent="0.2">
      <c r="B207"/>
      <c r="C207"/>
      <c r="D207"/>
      <c r="N207" s="1" t="s">
        <v>686</v>
      </c>
    </row>
    <row r="208" spans="2:14" ht="20.100000000000001" customHeight="1" x14ac:dyDescent="0.2">
      <c r="B208"/>
      <c r="C208"/>
      <c r="D208"/>
      <c r="N208" s="1" t="s">
        <v>758</v>
      </c>
    </row>
    <row r="209" spans="2:14" ht="20.100000000000001" customHeight="1" x14ac:dyDescent="0.2">
      <c r="B209"/>
      <c r="C209"/>
      <c r="D209"/>
      <c r="N209" s="1" t="s">
        <v>686</v>
      </c>
    </row>
    <row r="210" spans="2:14" ht="20.100000000000001" customHeight="1" x14ac:dyDescent="0.2">
      <c r="B210"/>
      <c r="C210"/>
      <c r="D210"/>
      <c r="N210" s="1" t="s">
        <v>759</v>
      </c>
    </row>
    <row r="211" spans="2:14" ht="20.100000000000001" customHeight="1" x14ac:dyDescent="0.2">
      <c r="B211"/>
      <c r="C211"/>
      <c r="D211"/>
      <c r="N211" s="1" t="s">
        <v>759</v>
      </c>
    </row>
    <row r="212" spans="2:14" ht="20.100000000000001" customHeight="1" x14ac:dyDescent="0.2">
      <c r="B212"/>
      <c r="C212"/>
      <c r="D212"/>
      <c r="N212" s="1" t="s">
        <v>948</v>
      </c>
    </row>
    <row r="213" spans="2:14" ht="20.100000000000001" customHeight="1" x14ac:dyDescent="0.2">
      <c r="B213"/>
      <c r="C213"/>
      <c r="D213"/>
      <c r="N213" s="1" t="s">
        <v>918</v>
      </c>
    </row>
    <row r="214" spans="2:14" ht="20.100000000000001" customHeight="1" x14ac:dyDescent="0.2">
      <c r="B214"/>
      <c r="C214"/>
      <c r="D214"/>
      <c r="N214" s="1" t="s">
        <v>686</v>
      </c>
    </row>
    <row r="215" spans="2:14" ht="20.100000000000001" customHeight="1" x14ac:dyDescent="0.2">
      <c r="B215"/>
      <c r="C215"/>
      <c r="D215"/>
      <c r="N215" s="1" t="s">
        <v>686</v>
      </c>
    </row>
    <row r="216" spans="2:14" ht="20.100000000000001" customHeight="1" x14ac:dyDescent="0.2">
      <c r="B216"/>
      <c r="C216"/>
      <c r="D216"/>
      <c r="N216" s="1" t="s">
        <v>686</v>
      </c>
    </row>
    <row r="217" spans="2:14" ht="20.100000000000001" customHeight="1" x14ac:dyDescent="0.2">
      <c r="B217"/>
      <c r="C217"/>
      <c r="D217"/>
      <c r="N217" s="1" t="s">
        <v>686</v>
      </c>
    </row>
    <row r="218" spans="2:14" ht="20.100000000000001" customHeight="1" x14ac:dyDescent="0.2">
      <c r="B218"/>
      <c r="C218"/>
      <c r="D218"/>
      <c r="N218" s="1" t="s">
        <v>686</v>
      </c>
    </row>
    <row r="219" spans="2:14" ht="20.100000000000001" customHeight="1" x14ac:dyDescent="0.2">
      <c r="B219"/>
      <c r="C219"/>
      <c r="D219"/>
      <c r="N219" s="1" t="s">
        <v>686</v>
      </c>
    </row>
    <row r="220" spans="2:14" ht="20.100000000000001" customHeight="1" x14ac:dyDescent="0.2">
      <c r="B220"/>
      <c r="C220"/>
      <c r="D220"/>
      <c r="N220" s="1" t="s">
        <v>686</v>
      </c>
    </row>
    <row r="221" spans="2:14" ht="20.100000000000001" customHeight="1" x14ac:dyDescent="0.2">
      <c r="B221"/>
      <c r="C221"/>
      <c r="D221"/>
      <c r="N221" s="1" t="s">
        <v>918</v>
      </c>
    </row>
    <row r="222" spans="2:14" ht="20.100000000000001" customHeight="1" x14ac:dyDescent="0.2">
      <c r="B222"/>
      <c r="C222"/>
      <c r="D222"/>
      <c r="N222" s="1" t="s">
        <v>686</v>
      </c>
    </row>
    <row r="223" spans="2:14" ht="20.100000000000001" customHeight="1" x14ac:dyDescent="0.2">
      <c r="B223"/>
      <c r="C223"/>
      <c r="D223"/>
      <c r="N223" s="1" t="s">
        <v>686</v>
      </c>
    </row>
    <row r="224" spans="2:14" ht="20.100000000000001" customHeight="1" x14ac:dyDescent="0.2">
      <c r="B224"/>
      <c r="C224"/>
      <c r="D224"/>
      <c r="N224" s="1" t="s">
        <v>779</v>
      </c>
    </row>
    <row r="225" spans="2:14" ht="20.100000000000001" customHeight="1" x14ac:dyDescent="0.2">
      <c r="B225"/>
      <c r="C225"/>
      <c r="D225"/>
      <c r="N225" s="1" t="s">
        <v>680</v>
      </c>
    </row>
    <row r="226" spans="2:14" ht="20.100000000000001" customHeight="1" x14ac:dyDescent="0.2">
      <c r="B226"/>
      <c r="C226"/>
      <c r="D226"/>
      <c r="N226" s="1" t="s">
        <v>681</v>
      </c>
    </row>
    <row r="227" spans="2:14" ht="20.100000000000001" customHeight="1" x14ac:dyDescent="0.2">
      <c r="B227"/>
      <c r="C227"/>
      <c r="D227"/>
      <c r="N227" s="1" t="s">
        <v>779</v>
      </c>
    </row>
    <row r="228" spans="2:14" ht="20.100000000000001" customHeight="1" x14ac:dyDescent="0.2">
      <c r="B228"/>
      <c r="C228"/>
      <c r="D228"/>
      <c r="N228" s="1" t="s">
        <v>904</v>
      </c>
    </row>
    <row r="229" spans="2:14" ht="20.100000000000001" customHeight="1" x14ac:dyDescent="0.2">
      <c r="B229"/>
      <c r="C229"/>
      <c r="D229"/>
      <c r="N229" s="1" t="s">
        <v>904</v>
      </c>
    </row>
    <row r="230" spans="2:14" ht="20.100000000000001" customHeight="1" x14ac:dyDescent="0.2">
      <c r="B230"/>
      <c r="C230"/>
      <c r="D230"/>
      <c r="N230" s="1" t="s">
        <v>680</v>
      </c>
    </row>
    <row r="231" spans="2:14" ht="20.100000000000001" customHeight="1" x14ac:dyDescent="0.2">
      <c r="B231"/>
      <c r="C231"/>
      <c r="D231"/>
      <c r="N231" s="1" t="s">
        <v>680</v>
      </c>
    </row>
    <row r="232" spans="2:14" ht="20.100000000000001" customHeight="1" x14ac:dyDescent="0.2">
      <c r="B232"/>
      <c r="C232"/>
      <c r="D232"/>
      <c r="N232" s="1" t="s">
        <v>680</v>
      </c>
    </row>
    <row r="233" spans="2:14" ht="20.100000000000001" customHeight="1" x14ac:dyDescent="0.2">
      <c r="B233"/>
      <c r="C233"/>
      <c r="D233"/>
      <c r="N233" s="1" t="s">
        <v>680</v>
      </c>
    </row>
    <row r="234" spans="2:14" ht="20.100000000000001" customHeight="1" x14ac:dyDescent="0.2">
      <c r="B234"/>
      <c r="C234"/>
      <c r="D234"/>
      <c r="N234" s="1" t="s">
        <v>680</v>
      </c>
    </row>
    <row r="235" spans="2:14" ht="20.100000000000001" customHeight="1" x14ac:dyDescent="0.2">
      <c r="B235"/>
      <c r="C235"/>
      <c r="D235"/>
      <c r="N235" s="1" t="s">
        <v>680</v>
      </c>
    </row>
    <row r="236" spans="2:14" ht="20.100000000000001" customHeight="1" x14ac:dyDescent="0.2">
      <c r="B236"/>
      <c r="C236"/>
      <c r="D236"/>
      <c r="N236" s="1" t="s">
        <v>680</v>
      </c>
    </row>
    <row r="237" spans="2:14" ht="20.100000000000001" customHeight="1" x14ac:dyDescent="0.2">
      <c r="B237"/>
      <c r="C237"/>
      <c r="D237"/>
      <c r="N237" s="1" t="s">
        <v>680</v>
      </c>
    </row>
    <row r="238" spans="2:14" ht="20.100000000000001" customHeight="1" x14ac:dyDescent="0.2">
      <c r="B238"/>
      <c r="C238"/>
      <c r="D238"/>
      <c r="N238" s="1" t="s">
        <v>680</v>
      </c>
    </row>
    <row r="239" spans="2:14" ht="20.100000000000001" customHeight="1" x14ac:dyDescent="0.2">
      <c r="B239"/>
      <c r="C239"/>
      <c r="D239"/>
      <c r="N239" s="1" t="s">
        <v>680</v>
      </c>
    </row>
    <row r="240" spans="2:14" ht="20.100000000000001" customHeight="1" x14ac:dyDescent="0.2">
      <c r="B240"/>
      <c r="C240"/>
      <c r="D240"/>
      <c r="N240" s="1" t="s">
        <v>680</v>
      </c>
    </row>
    <row r="241" spans="2:14" ht="20.100000000000001" customHeight="1" x14ac:dyDescent="0.2">
      <c r="B241"/>
      <c r="C241"/>
      <c r="D241"/>
      <c r="N241" s="1" t="s">
        <v>680</v>
      </c>
    </row>
    <row r="242" spans="2:14" ht="20.100000000000001" customHeight="1" x14ac:dyDescent="0.2">
      <c r="B242"/>
      <c r="C242"/>
      <c r="D242"/>
      <c r="N242" s="1" t="s">
        <v>680</v>
      </c>
    </row>
    <row r="243" spans="2:14" ht="20.100000000000001" customHeight="1" x14ac:dyDescent="0.2">
      <c r="B243"/>
      <c r="C243"/>
      <c r="D243"/>
      <c r="N243" s="1" t="s">
        <v>680</v>
      </c>
    </row>
    <row r="244" spans="2:14" ht="20.100000000000001" customHeight="1" x14ac:dyDescent="0.2">
      <c r="B244"/>
      <c r="C244"/>
      <c r="D244"/>
      <c r="N244" s="1" t="s">
        <v>680</v>
      </c>
    </row>
    <row r="245" spans="2:14" ht="20.100000000000001" customHeight="1" x14ac:dyDescent="0.2">
      <c r="B245"/>
      <c r="C245"/>
      <c r="D245"/>
      <c r="N245" s="1" t="s">
        <v>680</v>
      </c>
    </row>
    <row r="246" spans="2:14" ht="20.100000000000001" customHeight="1" x14ac:dyDescent="0.2">
      <c r="B246"/>
      <c r="C246"/>
      <c r="D246"/>
      <c r="N246" s="1" t="s">
        <v>681</v>
      </c>
    </row>
    <row r="247" spans="2:14" ht="20.100000000000001" customHeight="1" x14ac:dyDescent="0.2">
      <c r="B247"/>
      <c r="C247"/>
      <c r="D247"/>
      <c r="N247" s="1" t="s">
        <v>681</v>
      </c>
    </row>
    <row r="248" spans="2:14" ht="20.100000000000001" customHeight="1" x14ac:dyDescent="0.2">
      <c r="B248"/>
      <c r="C248"/>
      <c r="D248"/>
      <c r="N248" s="1" t="s">
        <v>681</v>
      </c>
    </row>
    <row r="249" spans="2:14" ht="20.100000000000001" customHeight="1" x14ac:dyDescent="0.2">
      <c r="B249"/>
      <c r="C249"/>
      <c r="D249"/>
      <c r="N249" s="1" t="s">
        <v>681</v>
      </c>
    </row>
    <row r="250" spans="2:14" ht="20.100000000000001" customHeight="1" x14ac:dyDescent="0.2">
      <c r="B250"/>
      <c r="C250"/>
      <c r="D250"/>
      <c r="N250" s="1" t="s">
        <v>681</v>
      </c>
    </row>
    <row r="251" spans="2:14" ht="20.100000000000001" customHeight="1" x14ac:dyDescent="0.2">
      <c r="B251"/>
      <c r="C251"/>
      <c r="D251"/>
      <c r="N251" s="1" t="s">
        <v>681</v>
      </c>
    </row>
    <row r="252" spans="2:14" ht="20.100000000000001" customHeight="1" x14ac:dyDescent="0.2">
      <c r="B252"/>
      <c r="C252"/>
      <c r="D252"/>
      <c r="N252" s="1" t="s">
        <v>681</v>
      </c>
    </row>
    <row r="253" spans="2:14" ht="20.100000000000001" customHeight="1" x14ac:dyDescent="0.2">
      <c r="B253"/>
      <c r="C253"/>
      <c r="D253"/>
      <c r="N253" s="1" t="s">
        <v>681</v>
      </c>
    </row>
    <row r="254" spans="2:14" ht="20.100000000000001" customHeight="1" x14ac:dyDescent="0.2">
      <c r="B254"/>
      <c r="C254"/>
      <c r="D254"/>
      <c r="N254" s="1" t="s">
        <v>681</v>
      </c>
    </row>
    <row r="255" spans="2:14" ht="20.100000000000001" customHeight="1" x14ac:dyDescent="0.2">
      <c r="B255"/>
      <c r="C255"/>
      <c r="D255"/>
      <c r="N255" s="1" t="s">
        <v>681</v>
      </c>
    </row>
    <row r="256" spans="2:14" ht="20.100000000000001" customHeight="1" x14ac:dyDescent="0.2">
      <c r="B256"/>
      <c r="C256"/>
      <c r="D256"/>
      <c r="N256" s="1" t="s">
        <v>681</v>
      </c>
    </row>
    <row r="257" spans="2:14" ht="20.100000000000001" customHeight="1" x14ac:dyDescent="0.2">
      <c r="B257"/>
      <c r="C257"/>
      <c r="D257"/>
      <c r="N257" s="1" t="s">
        <v>681</v>
      </c>
    </row>
    <row r="258" spans="2:14" ht="20.100000000000001" customHeight="1" x14ac:dyDescent="0.2">
      <c r="B258"/>
      <c r="C258"/>
      <c r="D258"/>
      <c r="N258" s="1" t="s">
        <v>681</v>
      </c>
    </row>
    <row r="259" spans="2:14" ht="20.100000000000001" customHeight="1" x14ac:dyDescent="0.2">
      <c r="B259"/>
      <c r="C259"/>
      <c r="D259"/>
      <c r="N259" s="1" t="s">
        <v>681</v>
      </c>
    </row>
    <row r="260" spans="2:14" ht="20.100000000000001" customHeight="1" x14ac:dyDescent="0.2">
      <c r="B260"/>
      <c r="C260"/>
      <c r="D260"/>
      <c r="N260" s="1" t="s">
        <v>778</v>
      </c>
    </row>
    <row r="261" spans="2:14" ht="20.100000000000001" customHeight="1" x14ac:dyDescent="0.2">
      <c r="B261"/>
      <c r="C261"/>
      <c r="D261"/>
      <c r="N261" s="1" t="s">
        <v>686</v>
      </c>
    </row>
    <row r="262" spans="2:14" ht="20.100000000000001" customHeight="1" x14ac:dyDescent="0.2">
      <c r="B262"/>
      <c r="C262"/>
      <c r="D262"/>
      <c r="N262" s="1" t="s">
        <v>686</v>
      </c>
    </row>
    <row r="263" spans="2:14" ht="20.100000000000001" customHeight="1" x14ac:dyDescent="0.2">
      <c r="B263"/>
      <c r="C263"/>
      <c r="D263"/>
      <c r="N263" s="1" t="s">
        <v>949</v>
      </c>
    </row>
    <row r="264" spans="2:14" ht="20.100000000000001" customHeight="1" x14ac:dyDescent="0.2">
      <c r="B264"/>
      <c r="C264"/>
      <c r="D264"/>
      <c r="N264" s="1" t="s">
        <v>945</v>
      </c>
    </row>
    <row r="265" spans="2:14" ht="20.100000000000001" customHeight="1" x14ac:dyDescent="0.2">
      <c r="B265"/>
      <c r="C265"/>
      <c r="D265"/>
      <c r="N265" s="1" t="s">
        <v>686</v>
      </c>
    </row>
    <row r="266" spans="2:14" ht="20.100000000000001" customHeight="1" x14ac:dyDescent="0.2">
      <c r="B266"/>
      <c r="C266"/>
      <c r="D266"/>
      <c r="N266" s="1" t="s">
        <v>686</v>
      </c>
    </row>
    <row r="267" spans="2:14" ht="20.100000000000001" customHeight="1" x14ac:dyDescent="0.2">
      <c r="B267"/>
      <c r="C267"/>
      <c r="D267"/>
      <c r="N267" s="1" t="s">
        <v>686</v>
      </c>
    </row>
    <row r="268" spans="2:14" ht="20.100000000000001" customHeight="1" x14ac:dyDescent="0.2">
      <c r="B268"/>
      <c r="C268"/>
      <c r="D268"/>
      <c r="N268" s="1" t="s">
        <v>686</v>
      </c>
    </row>
    <row r="269" spans="2:14" ht="20.100000000000001" customHeight="1" x14ac:dyDescent="0.2">
      <c r="B269"/>
      <c r="C269"/>
      <c r="D269"/>
      <c r="N269" s="1" t="s">
        <v>686</v>
      </c>
    </row>
    <row r="270" spans="2:14" ht="20.100000000000001" customHeight="1" x14ac:dyDescent="0.2">
      <c r="B270"/>
      <c r="C270"/>
      <c r="D270"/>
      <c r="N270" s="1" t="s">
        <v>945</v>
      </c>
    </row>
    <row r="271" spans="2:14" ht="20.100000000000001" customHeight="1" x14ac:dyDescent="0.2">
      <c r="B271"/>
      <c r="C271"/>
      <c r="D271"/>
      <c r="N271" s="1" t="s">
        <v>686</v>
      </c>
    </row>
    <row r="272" spans="2:14" ht="20.100000000000001" customHeight="1" x14ac:dyDescent="0.2">
      <c r="B272"/>
      <c r="C272"/>
      <c r="D272"/>
      <c r="N272" s="1" t="s">
        <v>686</v>
      </c>
    </row>
    <row r="273" spans="2:14" ht="20.100000000000001" customHeight="1" x14ac:dyDescent="0.2">
      <c r="B273"/>
      <c r="C273"/>
      <c r="D273"/>
      <c r="N273" s="1" t="s">
        <v>686</v>
      </c>
    </row>
    <row r="274" spans="2:14" ht="20.100000000000001" customHeight="1" x14ac:dyDescent="0.2">
      <c r="B274"/>
      <c r="C274"/>
      <c r="D274"/>
      <c r="N274" s="1" t="s">
        <v>686</v>
      </c>
    </row>
    <row r="275" spans="2:14" ht="20.100000000000001" customHeight="1" x14ac:dyDescent="0.2">
      <c r="B275"/>
      <c r="C275"/>
      <c r="D275"/>
      <c r="N275" s="1" t="s">
        <v>686</v>
      </c>
    </row>
    <row r="276" spans="2:14" ht="20.100000000000001" customHeight="1" x14ac:dyDescent="0.2">
      <c r="B276"/>
      <c r="C276"/>
      <c r="D276"/>
      <c r="N276" s="1" t="s">
        <v>686</v>
      </c>
    </row>
    <row r="277" spans="2:14" ht="20.100000000000001" customHeight="1" x14ac:dyDescent="0.2">
      <c r="B277"/>
      <c r="C277"/>
      <c r="D277"/>
      <c r="N277" s="1" t="s">
        <v>686</v>
      </c>
    </row>
    <row r="278" spans="2:14" ht="20.100000000000001" customHeight="1" x14ac:dyDescent="0.2">
      <c r="B278"/>
      <c r="C278"/>
      <c r="D278"/>
      <c r="N278" s="1" t="s">
        <v>686</v>
      </c>
    </row>
    <row r="279" spans="2:14" ht="20.100000000000001" customHeight="1" x14ac:dyDescent="0.2">
      <c r="B279"/>
      <c r="C279"/>
      <c r="D279"/>
      <c r="N279" s="1" t="s">
        <v>686</v>
      </c>
    </row>
    <row r="280" spans="2:14" ht="20.100000000000001" customHeight="1" x14ac:dyDescent="0.2">
      <c r="B280"/>
      <c r="C280"/>
      <c r="D280"/>
      <c r="N280" s="1" t="s">
        <v>945</v>
      </c>
    </row>
    <row r="281" spans="2:14" ht="20.100000000000001" customHeight="1" x14ac:dyDescent="0.2">
      <c r="B281"/>
      <c r="C281"/>
      <c r="D281"/>
      <c r="N281" s="1" t="s">
        <v>945</v>
      </c>
    </row>
    <row r="282" spans="2:14" ht="20.100000000000001" customHeight="1" x14ac:dyDescent="0.2">
      <c r="B282"/>
      <c r="C282"/>
      <c r="D282"/>
      <c r="N282" s="1" t="s">
        <v>950</v>
      </c>
    </row>
    <row r="283" spans="2:14" ht="20.100000000000001" customHeight="1" x14ac:dyDescent="0.2">
      <c r="B283"/>
      <c r="C283"/>
      <c r="D283"/>
      <c r="N283" s="1" t="s">
        <v>686</v>
      </c>
    </row>
    <row r="284" spans="2:14" ht="20.100000000000001" customHeight="1" x14ac:dyDescent="0.2">
      <c r="B284"/>
      <c r="C284"/>
      <c r="D284"/>
      <c r="N284" s="1" t="s">
        <v>686</v>
      </c>
    </row>
    <row r="285" spans="2:14" ht="20.100000000000001" customHeight="1" x14ac:dyDescent="0.2">
      <c r="B285"/>
      <c r="C285"/>
      <c r="D285"/>
      <c r="N285" s="1" t="s">
        <v>686</v>
      </c>
    </row>
    <row r="286" spans="2:14" ht="20.100000000000001" customHeight="1" x14ac:dyDescent="0.2">
      <c r="B286"/>
      <c r="C286"/>
      <c r="D286"/>
      <c r="N286" s="1" t="s">
        <v>686</v>
      </c>
    </row>
    <row r="287" spans="2:14" ht="20.100000000000001" customHeight="1" x14ac:dyDescent="0.2">
      <c r="B287"/>
      <c r="C287"/>
      <c r="D287"/>
      <c r="N287" s="1" t="s">
        <v>945</v>
      </c>
    </row>
    <row r="288" spans="2:14" ht="20.100000000000001" customHeight="1" x14ac:dyDescent="0.2">
      <c r="B288"/>
      <c r="C288"/>
      <c r="D288"/>
      <c r="N288" s="1" t="s">
        <v>945</v>
      </c>
    </row>
    <row r="289" spans="2:14" ht="20.100000000000001" customHeight="1" x14ac:dyDescent="0.2">
      <c r="B289"/>
      <c r="C289"/>
      <c r="D289"/>
      <c r="N289" s="1" t="s">
        <v>686</v>
      </c>
    </row>
    <row r="290" spans="2:14" ht="20.100000000000001" customHeight="1" x14ac:dyDescent="0.2">
      <c r="B290"/>
      <c r="C290"/>
      <c r="D290"/>
      <c r="N290" s="1" t="s">
        <v>951</v>
      </c>
    </row>
    <row r="291" spans="2:14" ht="20.100000000000001" customHeight="1" x14ac:dyDescent="0.2">
      <c r="B291"/>
      <c r="C291"/>
      <c r="D291"/>
      <c r="N291" s="1" t="s">
        <v>883</v>
      </c>
    </row>
    <row r="292" spans="2:14" ht="20.100000000000001" customHeight="1" x14ac:dyDescent="0.2">
      <c r="B292"/>
      <c r="C292"/>
      <c r="D292"/>
      <c r="N292" s="1" t="s">
        <v>686</v>
      </c>
    </row>
    <row r="293" spans="2:14" ht="20.100000000000001" customHeight="1" x14ac:dyDescent="0.2">
      <c r="B293"/>
      <c r="C293"/>
      <c r="D293"/>
      <c r="N293" s="1" t="s">
        <v>952</v>
      </c>
    </row>
    <row r="294" spans="2:14" ht="20.100000000000001" customHeight="1" x14ac:dyDescent="0.2">
      <c r="B294"/>
      <c r="C294"/>
      <c r="D294"/>
      <c r="N294" s="1" t="s">
        <v>686</v>
      </c>
    </row>
    <row r="295" spans="2:14" ht="20.100000000000001" customHeight="1" x14ac:dyDescent="0.2">
      <c r="B295"/>
      <c r="C295"/>
      <c r="D295"/>
      <c r="N295" s="1" t="s">
        <v>690</v>
      </c>
    </row>
    <row r="296" spans="2:14" ht="20.100000000000001" customHeight="1" x14ac:dyDescent="0.2">
      <c r="B296"/>
      <c r="C296"/>
      <c r="D296"/>
      <c r="N296" s="1" t="s">
        <v>690</v>
      </c>
    </row>
    <row r="297" spans="2:14" ht="20.100000000000001" customHeight="1" x14ac:dyDescent="0.2">
      <c r="B297"/>
      <c r="C297"/>
      <c r="D297"/>
      <c r="N297" s="1" t="s">
        <v>691</v>
      </c>
    </row>
    <row r="298" spans="2:14" ht="20.100000000000001" customHeight="1" x14ac:dyDescent="0.2">
      <c r="B298"/>
      <c r="C298"/>
      <c r="D298"/>
      <c r="N298" s="1" t="s">
        <v>692</v>
      </c>
    </row>
    <row r="299" spans="2:14" ht="20.100000000000001" customHeight="1" x14ac:dyDescent="0.2">
      <c r="B299"/>
      <c r="C299"/>
      <c r="D299"/>
      <c r="N299" s="1" t="s">
        <v>761</v>
      </c>
    </row>
    <row r="300" spans="2:14" ht="20.100000000000001" customHeight="1" x14ac:dyDescent="0.2">
      <c r="B300"/>
      <c r="C300"/>
      <c r="D300"/>
      <c r="N300" s="1" t="s">
        <v>762</v>
      </c>
    </row>
    <row r="301" spans="2:14" ht="20.100000000000001" customHeight="1" x14ac:dyDescent="0.2">
      <c r="B301"/>
      <c r="C301"/>
      <c r="D301"/>
      <c r="N301" s="1" t="s">
        <v>686</v>
      </c>
    </row>
    <row r="302" spans="2:14" ht="20.100000000000001" customHeight="1" x14ac:dyDescent="0.2">
      <c r="B302"/>
      <c r="C302"/>
      <c r="D302"/>
      <c r="N302" s="1" t="s">
        <v>761</v>
      </c>
    </row>
    <row r="303" spans="2:14" ht="20.100000000000001" customHeight="1" x14ac:dyDescent="0.2">
      <c r="B303"/>
      <c r="C303"/>
      <c r="D303"/>
      <c r="N303" s="1" t="s">
        <v>762</v>
      </c>
    </row>
    <row r="304" spans="2:14" ht="20.100000000000001" customHeight="1" x14ac:dyDescent="0.2">
      <c r="B304"/>
      <c r="C304"/>
      <c r="D304"/>
      <c r="N304" s="1" t="s">
        <v>761</v>
      </c>
    </row>
    <row r="305" spans="2:14" ht="20.100000000000001" customHeight="1" x14ac:dyDescent="0.2">
      <c r="B305"/>
      <c r="C305"/>
      <c r="D305"/>
      <c r="N305" s="1" t="s">
        <v>762</v>
      </c>
    </row>
    <row r="306" spans="2:14" ht="20.100000000000001" customHeight="1" x14ac:dyDescent="0.2">
      <c r="B306"/>
      <c r="C306"/>
      <c r="D306"/>
      <c r="N306" s="1" t="s">
        <v>761</v>
      </c>
    </row>
    <row r="307" spans="2:14" ht="20.100000000000001" customHeight="1" x14ac:dyDescent="0.2">
      <c r="B307"/>
      <c r="C307"/>
      <c r="D307"/>
      <c r="N307" s="1" t="s">
        <v>762</v>
      </c>
    </row>
    <row r="308" spans="2:14" ht="20.100000000000001" customHeight="1" x14ac:dyDescent="0.2">
      <c r="B308"/>
      <c r="C308"/>
      <c r="D308"/>
      <c r="N308" s="1" t="s">
        <v>761</v>
      </c>
    </row>
    <row r="309" spans="2:14" ht="20.100000000000001" customHeight="1" x14ac:dyDescent="0.2">
      <c r="B309"/>
      <c r="C309"/>
      <c r="D309"/>
      <c r="N309" s="1" t="s">
        <v>762</v>
      </c>
    </row>
    <row r="310" spans="2:14" ht="20.100000000000001" customHeight="1" x14ac:dyDescent="0.2">
      <c r="B310"/>
      <c r="C310"/>
      <c r="D310"/>
      <c r="N310" s="1" t="s">
        <v>761</v>
      </c>
    </row>
    <row r="311" spans="2:14" ht="20.100000000000001" customHeight="1" x14ac:dyDescent="0.2">
      <c r="B311"/>
      <c r="C311"/>
      <c r="D311"/>
      <c r="N311" s="1" t="s">
        <v>762</v>
      </c>
    </row>
    <row r="312" spans="2:14" ht="20.100000000000001" customHeight="1" x14ac:dyDescent="0.2">
      <c r="B312"/>
      <c r="C312"/>
      <c r="D312"/>
      <c r="N312" s="1" t="s">
        <v>381</v>
      </c>
    </row>
    <row r="313" spans="2:14" ht="20.100000000000001" customHeight="1" x14ac:dyDescent="0.2">
      <c r="B313"/>
      <c r="C313"/>
      <c r="D313"/>
      <c r="N313" s="1" t="s">
        <v>381</v>
      </c>
    </row>
    <row r="314" spans="2:14" ht="20.100000000000001" customHeight="1" x14ac:dyDescent="0.2">
      <c r="B314"/>
      <c r="C314"/>
      <c r="D314"/>
      <c r="N314" s="1" t="s">
        <v>381</v>
      </c>
    </row>
    <row r="315" spans="2:14" ht="20.100000000000001" customHeight="1" x14ac:dyDescent="0.2">
      <c r="B315"/>
      <c r="C315"/>
      <c r="D315"/>
      <c r="N315" s="1" t="s">
        <v>381</v>
      </c>
    </row>
    <row r="316" spans="2:14" ht="20.100000000000001" customHeight="1" x14ac:dyDescent="0.2">
      <c r="B316"/>
      <c r="C316"/>
      <c r="D316"/>
      <c r="N316" s="1" t="s">
        <v>381</v>
      </c>
    </row>
    <row r="317" spans="2:14" ht="20.100000000000001" customHeight="1" x14ac:dyDescent="0.2">
      <c r="B317"/>
      <c r="C317"/>
      <c r="D317"/>
      <c r="N317" s="1" t="s">
        <v>381</v>
      </c>
    </row>
    <row r="318" spans="2:14" ht="20.100000000000001" customHeight="1" x14ac:dyDescent="0.2">
      <c r="B318"/>
      <c r="C318"/>
      <c r="D318"/>
      <c r="N318" s="1" t="s">
        <v>381</v>
      </c>
    </row>
    <row r="319" spans="2:14" ht="20.100000000000001" customHeight="1" x14ac:dyDescent="0.2">
      <c r="B319"/>
      <c r="C319"/>
      <c r="D319"/>
      <c r="N319" s="1" t="s">
        <v>387</v>
      </c>
    </row>
    <row r="320" spans="2:14" ht="20.100000000000001" customHeight="1" x14ac:dyDescent="0.2">
      <c r="B320"/>
      <c r="C320"/>
      <c r="D320"/>
      <c r="N320" s="1" t="s">
        <v>381</v>
      </c>
    </row>
    <row r="321" spans="2:14" ht="20.100000000000001" customHeight="1" x14ac:dyDescent="0.2">
      <c r="B321"/>
      <c r="C321"/>
      <c r="D321"/>
      <c r="N321" s="1" t="s">
        <v>381</v>
      </c>
    </row>
    <row r="322" spans="2:14" ht="20.100000000000001" customHeight="1" x14ac:dyDescent="0.2">
      <c r="B322"/>
      <c r="C322"/>
      <c r="D322"/>
      <c r="N322" s="1" t="s">
        <v>387</v>
      </c>
    </row>
    <row r="323" spans="2:14" ht="20.100000000000001" customHeight="1" x14ac:dyDescent="0.2">
      <c r="B323"/>
      <c r="C323"/>
      <c r="D323"/>
      <c r="N323" s="1" t="s">
        <v>381</v>
      </c>
    </row>
    <row r="324" spans="2:14" ht="20.100000000000001" customHeight="1" x14ac:dyDescent="0.2">
      <c r="B324"/>
      <c r="C324"/>
      <c r="D324"/>
      <c r="N324" s="1" t="s">
        <v>387</v>
      </c>
    </row>
    <row r="325" spans="2:14" ht="20.100000000000001" customHeight="1" x14ac:dyDescent="0.2">
      <c r="B325"/>
      <c r="C325"/>
      <c r="D325"/>
      <c r="N325" s="1" t="s">
        <v>381</v>
      </c>
    </row>
    <row r="326" spans="2:14" ht="20.100000000000001" customHeight="1" x14ac:dyDescent="0.2">
      <c r="B326"/>
      <c r="C326"/>
      <c r="D326"/>
      <c r="N326" s="1" t="s">
        <v>381</v>
      </c>
    </row>
    <row r="327" spans="2:14" ht="20.100000000000001" customHeight="1" x14ac:dyDescent="0.2">
      <c r="B327"/>
      <c r="C327"/>
      <c r="D327"/>
      <c r="N327" s="1" t="s">
        <v>387</v>
      </c>
    </row>
    <row r="328" spans="2:14" ht="20.100000000000001" customHeight="1" x14ac:dyDescent="0.2">
      <c r="B328"/>
      <c r="C328"/>
      <c r="D328"/>
      <c r="N328" s="1" t="s">
        <v>381</v>
      </c>
    </row>
    <row r="329" spans="2:14" ht="20.100000000000001" customHeight="1" x14ac:dyDescent="0.2">
      <c r="B329"/>
      <c r="C329"/>
      <c r="D329"/>
      <c r="N329" s="1" t="s">
        <v>381</v>
      </c>
    </row>
    <row r="330" spans="2:14" ht="20.100000000000001" customHeight="1" x14ac:dyDescent="0.2">
      <c r="B330"/>
      <c r="C330"/>
      <c r="D330"/>
      <c r="N330" s="1" t="s">
        <v>387</v>
      </c>
    </row>
    <row r="331" spans="2:14" ht="20.100000000000001" customHeight="1" x14ac:dyDescent="0.2">
      <c r="B331"/>
      <c r="C331"/>
      <c r="D331"/>
      <c r="N331" s="1" t="s">
        <v>387</v>
      </c>
    </row>
    <row r="332" spans="2:14" ht="20.100000000000001" customHeight="1" x14ac:dyDescent="0.2">
      <c r="B332"/>
      <c r="C332"/>
      <c r="D332"/>
      <c r="N332" s="1" t="s">
        <v>387</v>
      </c>
    </row>
    <row r="333" spans="2:14" ht="20.100000000000001" customHeight="1" x14ac:dyDescent="0.2">
      <c r="B333"/>
      <c r="C333"/>
      <c r="D333"/>
      <c r="N333" s="1" t="s">
        <v>387</v>
      </c>
    </row>
    <row r="334" spans="2:14" ht="20.100000000000001" customHeight="1" x14ac:dyDescent="0.2">
      <c r="B334"/>
      <c r="C334"/>
      <c r="D334"/>
      <c r="N334" s="1" t="s">
        <v>742</v>
      </c>
    </row>
    <row r="335" spans="2:14" ht="20.100000000000001" customHeight="1" x14ac:dyDescent="0.2">
      <c r="B335"/>
      <c r="C335"/>
      <c r="D335"/>
      <c r="N335" s="1" t="s">
        <v>742</v>
      </c>
    </row>
    <row r="336" spans="2:14" ht="20.100000000000001" customHeight="1" x14ac:dyDescent="0.2">
      <c r="B336"/>
      <c r="C336"/>
      <c r="D336"/>
      <c r="N336" s="1" t="s">
        <v>742</v>
      </c>
    </row>
    <row r="337" spans="2:14" ht="20.100000000000001" customHeight="1" x14ac:dyDescent="0.2">
      <c r="B337"/>
      <c r="C337"/>
      <c r="D337"/>
      <c r="N337" s="1" t="s">
        <v>742</v>
      </c>
    </row>
    <row r="338" spans="2:14" ht="20.100000000000001" customHeight="1" x14ac:dyDescent="0.2">
      <c r="B338"/>
      <c r="C338"/>
      <c r="D338"/>
      <c r="N338" s="1" t="s">
        <v>742</v>
      </c>
    </row>
    <row r="339" spans="2:14" ht="20.100000000000001" customHeight="1" x14ac:dyDescent="0.2">
      <c r="B339"/>
      <c r="C339"/>
      <c r="D339"/>
      <c r="N339" s="1" t="s">
        <v>742</v>
      </c>
    </row>
    <row r="340" spans="2:14" ht="20.100000000000001" customHeight="1" x14ac:dyDescent="0.2">
      <c r="B340"/>
      <c r="C340"/>
      <c r="D340"/>
      <c r="N340" s="1" t="s">
        <v>742</v>
      </c>
    </row>
    <row r="341" spans="2:14" ht="20.100000000000001" customHeight="1" x14ac:dyDescent="0.2">
      <c r="B341"/>
      <c r="C341"/>
      <c r="D341"/>
      <c r="N341" s="1" t="s">
        <v>742</v>
      </c>
    </row>
    <row r="342" spans="2:14" ht="20.100000000000001" customHeight="1" x14ac:dyDescent="0.2">
      <c r="B342"/>
      <c r="C342"/>
      <c r="D342"/>
      <c r="N342" s="1" t="s">
        <v>742</v>
      </c>
    </row>
    <row r="343" spans="2:14" ht="20.100000000000001" customHeight="1" x14ac:dyDescent="0.2">
      <c r="B343"/>
      <c r="C343"/>
      <c r="D343"/>
      <c r="N343" s="1" t="s">
        <v>742</v>
      </c>
    </row>
    <row r="344" spans="2:14" ht="20.100000000000001" customHeight="1" x14ac:dyDescent="0.2">
      <c r="B344"/>
      <c r="C344"/>
      <c r="D344"/>
      <c r="N344" s="1" t="s">
        <v>742</v>
      </c>
    </row>
    <row r="345" spans="2:14" ht="20.100000000000001" customHeight="1" x14ac:dyDescent="0.2">
      <c r="B345"/>
      <c r="C345"/>
      <c r="D345"/>
      <c r="N345" s="1" t="s">
        <v>742</v>
      </c>
    </row>
    <row r="346" spans="2:14" ht="20.100000000000001" customHeight="1" x14ac:dyDescent="0.2">
      <c r="B346"/>
      <c r="C346"/>
      <c r="D346"/>
      <c r="N346" s="1" t="s">
        <v>742</v>
      </c>
    </row>
    <row r="347" spans="2:14" ht="20.100000000000001" customHeight="1" x14ac:dyDescent="0.2">
      <c r="B347"/>
      <c r="C347"/>
      <c r="D347"/>
      <c r="N347" s="1" t="s">
        <v>742</v>
      </c>
    </row>
    <row r="348" spans="2:14" ht="20.100000000000001" customHeight="1" x14ac:dyDescent="0.2">
      <c r="B348"/>
      <c r="C348"/>
      <c r="D348"/>
      <c r="N348" s="1" t="s">
        <v>742</v>
      </c>
    </row>
    <row r="349" spans="2:14" ht="20.100000000000001" customHeight="1" x14ac:dyDescent="0.2">
      <c r="B349"/>
      <c r="C349"/>
      <c r="D349"/>
      <c r="N349" s="1" t="s">
        <v>742</v>
      </c>
    </row>
    <row r="350" spans="2:14" ht="20.100000000000001" customHeight="1" x14ac:dyDescent="0.2">
      <c r="B350"/>
      <c r="C350"/>
      <c r="D350"/>
      <c r="N350" s="1" t="s">
        <v>742</v>
      </c>
    </row>
    <row r="351" spans="2:14" ht="20.100000000000001" customHeight="1" x14ac:dyDescent="0.2">
      <c r="B351"/>
      <c r="C351"/>
      <c r="D351"/>
      <c r="N351" s="1" t="s">
        <v>742</v>
      </c>
    </row>
    <row r="352" spans="2:14" ht="20.100000000000001" customHeight="1" x14ac:dyDescent="0.2">
      <c r="B352"/>
      <c r="C352"/>
      <c r="D352"/>
      <c r="N352" s="1" t="s">
        <v>686</v>
      </c>
    </row>
    <row r="353" spans="2:14" ht="20.100000000000001" customHeight="1" x14ac:dyDescent="0.2">
      <c r="B353"/>
      <c r="C353"/>
      <c r="D353"/>
      <c r="N353" s="1" t="s">
        <v>686</v>
      </c>
    </row>
    <row r="354" spans="2:14" ht="20.100000000000001" customHeight="1" x14ac:dyDescent="0.2">
      <c r="B354"/>
      <c r="C354"/>
      <c r="D354"/>
      <c r="N354" s="1" t="s">
        <v>686</v>
      </c>
    </row>
    <row r="355" spans="2:14" ht="20.100000000000001" customHeight="1" x14ac:dyDescent="0.2">
      <c r="B355"/>
      <c r="C355"/>
      <c r="D355"/>
      <c r="N355" s="1" t="s">
        <v>742</v>
      </c>
    </row>
    <row r="356" spans="2:14" ht="20.100000000000001" customHeight="1" x14ac:dyDescent="0.2">
      <c r="B356"/>
      <c r="C356"/>
      <c r="D356"/>
      <c r="N356" s="1" t="s">
        <v>742</v>
      </c>
    </row>
    <row r="357" spans="2:14" ht="20.100000000000001" customHeight="1" x14ac:dyDescent="0.2">
      <c r="B357"/>
      <c r="C357"/>
      <c r="D357"/>
      <c r="N357" s="1" t="s">
        <v>742</v>
      </c>
    </row>
    <row r="358" spans="2:14" ht="20.100000000000001" customHeight="1" x14ac:dyDescent="0.2">
      <c r="B358"/>
      <c r="C358"/>
      <c r="D358"/>
      <c r="N358" s="1" t="s">
        <v>742</v>
      </c>
    </row>
    <row r="359" spans="2:14" ht="20.100000000000001" customHeight="1" x14ac:dyDescent="0.2">
      <c r="B359"/>
      <c r="C359"/>
      <c r="D359"/>
      <c r="N359" s="1" t="s">
        <v>742</v>
      </c>
    </row>
    <row r="360" spans="2:14" ht="20.100000000000001" customHeight="1" x14ac:dyDescent="0.2">
      <c r="B360"/>
      <c r="C360"/>
      <c r="D360"/>
      <c r="N360" s="1" t="s">
        <v>742</v>
      </c>
    </row>
    <row r="361" spans="2:14" ht="20.100000000000001" customHeight="1" x14ac:dyDescent="0.2">
      <c r="B361"/>
      <c r="C361"/>
      <c r="D361"/>
      <c r="N361" s="1" t="s">
        <v>742</v>
      </c>
    </row>
    <row r="362" spans="2:14" ht="20.100000000000001" customHeight="1" x14ac:dyDescent="0.2">
      <c r="B362"/>
      <c r="C362"/>
      <c r="D362"/>
      <c r="N362" s="1" t="s">
        <v>742</v>
      </c>
    </row>
    <row r="363" spans="2:14" ht="20.100000000000001" customHeight="1" x14ac:dyDescent="0.2">
      <c r="B363"/>
      <c r="C363"/>
      <c r="D363"/>
      <c r="N363" s="1" t="s">
        <v>742</v>
      </c>
    </row>
    <row r="364" spans="2:14" ht="20.100000000000001" customHeight="1" x14ac:dyDescent="0.2">
      <c r="B364"/>
      <c r="C364"/>
      <c r="D364"/>
      <c r="N364" s="1" t="s">
        <v>742</v>
      </c>
    </row>
    <row r="365" spans="2:14" ht="20.100000000000001" customHeight="1" x14ac:dyDescent="0.2">
      <c r="B365"/>
      <c r="C365"/>
      <c r="D365"/>
      <c r="N365" s="1" t="s">
        <v>742</v>
      </c>
    </row>
    <row r="366" spans="2:14" ht="20.100000000000001" customHeight="1" x14ac:dyDescent="0.2">
      <c r="B366"/>
      <c r="C366"/>
      <c r="D366"/>
      <c r="N366" s="1" t="s">
        <v>742</v>
      </c>
    </row>
    <row r="367" spans="2:14" ht="20.100000000000001" customHeight="1" x14ac:dyDescent="0.2">
      <c r="B367"/>
      <c r="C367"/>
      <c r="D367"/>
      <c r="N367" s="1" t="s">
        <v>742</v>
      </c>
    </row>
    <row r="368" spans="2:14" ht="20.100000000000001" customHeight="1" x14ac:dyDescent="0.2">
      <c r="B368"/>
      <c r="C368"/>
      <c r="D368"/>
      <c r="N368" s="1" t="s">
        <v>742</v>
      </c>
    </row>
    <row r="369" spans="2:14" ht="20.100000000000001" customHeight="1" x14ac:dyDescent="0.2">
      <c r="B369"/>
      <c r="C369"/>
      <c r="D369"/>
      <c r="N369" s="1" t="s">
        <v>742</v>
      </c>
    </row>
    <row r="370" spans="2:14" ht="20.100000000000001" customHeight="1" x14ac:dyDescent="0.2">
      <c r="B370"/>
      <c r="C370"/>
      <c r="D370"/>
      <c r="N370" s="1" t="s">
        <v>742</v>
      </c>
    </row>
    <row r="371" spans="2:14" ht="20.100000000000001" customHeight="1" x14ac:dyDescent="0.2">
      <c r="B371"/>
      <c r="C371"/>
      <c r="D371"/>
      <c r="N371" s="1" t="s">
        <v>742</v>
      </c>
    </row>
    <row r="372" spans="2:14" ht="20.100000000000001" customHeight="1" x14ac:dyDescent="0.2">
      <c r="B372"/>
      <c r="C372"/>
      <c r="D372"/>
      <c r="N372" s="1" t="s">
        <v>742</v>
      </c>
    </row>
    <row r="373" spans="2:14" ht="20.100000000000001" customHeight="1" x14ac:dyDescent="0.2">
      <c r="B373"/>
      <c r="C373"/>
      <c r="D373"/>
      <c r="N373" s="1" t="s">
        <v>742</v>
      </c>
    </row>
    <row r="374" spans="2:14" ht="20.100000000000001" customHeight="1" x14ac:dyDescent="0.2">
      <c r="B374"/>
      <c r="C374"/>
      <c r="D374"/>
      <c r="N374" s="1" t="s">
        <v>742</v>
      </c>
    </row>
    <row r="375" spans="2:14" ht="20.100000000000001" customHeight="1" x14ac:dyDescent="0.2">
      <c r="B375"/>
      <c r="C375"/>
      <c r="D375"/>
      <c r="N375" s="1" t="s">
        <v>742</v>
      </c>
    </row>
    <row r="376" spans="2:14" ht="20.100000000000001" customHeight="1" x14ac:dyDescent="0.2">
      <c r="B376"/>
      <c r="C376"/>
      <c r="D376"/>
      <c r="N376" s="1" t="s">
        <v>742</v>
      </c>
    </row>
    <row r="377" spans="2:14" ht="20.100000000000001" customHeight="1" x14ac:dyDescent="0.2">
      <c r="B377"/>
      <c r="C377"/>
      <c r="D377"/>
      <c r="N377" s="1" t="s">
        <v>742</v>
      </c>
    </row>
    <row r="378" spans="2:14" ht="20.100000000000001" customHeight="1" x14ac:dyDescent="0.2">
      <c r="B378"/>
      <c r="C378"/>
      <c r="D378"/>
      <c r="N378" s="1" t="s">
        <v>742</v>
      </c>
    </row>
    <row r="379" spans="2:14" ht="20.100000000000001" customHeight="1" x14ac:dyDescent="0.2">
      <c r="B379"/>
      <c r="C379"/>
      <c r="D379"/>
      <c r="N379" s="1" t="s">
        <v>742</v>
      </c>
    </row>
    <row r="380" spans="2:14" ht="20.100000000000001" customHeight="1" x14ac:dyDescent="0.2">
      <c r="B380"/>
      <c r="C380"/>
      <c r="D380"/>
      <c r="N380" s="1" t="s">
        <v>742</v>
      </c>
    </row>
    <row r="381" spans="2:14" ht="20.100000000000001" customHeight="1" x14ac:dyDescent="0.2">
      <c r="B381"/>
      <c r="C381"/>
      <c r="D381"/>
      <c r="N381" s="1" t="s">
        <v>742</v>
      </c>
    </row>
    <row r="382" spans="2:14" ht="20.100000000000001" customHeight="1" x14ac:dyDescent="0.2">
      <c r="B382"/>
      <c r="C382"/>
      <c r="D382"/>
      <c r="N382" s="1" t="s">
        <v>742</v>
      </c>
    </row>
    <row r="383" spans="2:14" ht="20.100000000000001" customHeight="1" x14ac:dyDescent="0.2">
      <c r="B383"/>
      <c r="C383"/>
      <c r="D383"/>
      <c r="N383" s="1" t="s">
        <v>742</v>
      </c>
    </row>
    <row r="384" spans="2:14" ht="20.100000000000001" customHeight="1" x14ac:dyDescent="0.2">
      <c r="B384"/>
      <c r="C384"/>
      <c r="D384"/>
      <c r="N384" s="1" t="s">
        <v>742</v>
      </c>
    </row>
    <row r="385" spans="2:14" ht="20.100000000000001" customHeight="1" x14ac:dyDescent="0.2">
      <c r="B385"/>
      <c r="C385"/>
      <c r="D385"/>
      <c r="N385" s="1" t="s">
        <v>742</v>
      </c>
    </row>
    <row r="386" spans="2:14" ht="20.100000000000001" customHeight="1" x14ac:dyDescent="0.2">
      <c r="B386"/>
      <c r="C386"/>
      <c r="D386"/>
      <c r="N386" s="1" t="s">
        <v>742</v>
      </c>
    </row>
    <row r="387" spans="2:14" ht="20.100000000000001" customHeight="1" x14ac:dyDescent="0.2">
      <c r="B387"/>
      <c r="C387"/>
      <c r="D387"/>
      <c r="N387" s="1" t="s">
        <v>742</v>
      </c>
    </row>
    <row r="388" spans="2:14" ht="20.100000000000001" customHeight="1" x14ac:dyDescent="0.2">
      <c r="B388"/>
      <c r="C388"/>
      <c r="D388"/>
      <c r="N388" s="1" t="s">
        <v>742</v>
      </c>
    </row>
    <row r="389" spans="2:14" ht="20.100000000000001" customHeight="1" x14ac:dyDescent="0.2">
      <c r="B389"/>
      <c r="C389"/>
      <c r="D389"/>
      <c r="N389" s="1" t="s">
        <v>742</v>
      </c>
    </row>
    <row r="390" spans="2:14" ht="20.100000000000001" customHeight="1" x14ac:dyDescent="0.2">
      <c r="B390"/>
      <c r="C390"/>
      <c r="D390"/>
      <c r="N390" s="1" t="s">
        <v>742</v>
      </c>
    </row>
    <row r="391" spans="2:14" ht="20.100000000000001" customHeight="1" x14ac:dyDescent="0.2">
      <c r="B391"/>
      <c r="C391"/>
      <c r="D391"/>
      <c r="N391" s="1" t="s">
        <v>686</v>
      </c>
    </row>
    <row r="392" spans="2:14" ht="20.100000000000001" customHeight="1" x14ac:dyDescent="0.2">
      <c r="B392"/>
      <c r="C392"/>
      <c r="D392"/>
      <c r="N392" s="1" t="s">
        <v>686</v>
      </c>
    </row>
    <row r="393" spans="2:14" ht="20.100000000000001" customHeight="1" x14ac:dyDescent="0.2">
      <c r="B393"/>
      <c r="C393"/>
      <c r="D393"/>
      <c r="N393" s="1" t="s">
        <v>742</v>
      </c>
    </row>
    <row r="394" spans="2:14" ht="20.100000000000001" customHeight="1" x14ac:dyDescent="0.2">
      <c r="B394"/>
      <c r="C394"/>
      <c r="D394"/>
      <c r="N394" s="1" t="s">
        <v>742</v>
      </c>
    </row>
    <row r="395" spans="2:14" ht="20.100000000000001" customHeight="1" x14ac:dyDescent="0.2">
      <c r="B395"/>
      <c r="C395"/>
      <c r="D395"/>
      <c r="N395" s="1" t="s">
        <v>742</v>
      </c>
    </row>
    <row r="396" spans="2:14" ht="20.100000000000001" customHeight="1" x14ac:dyDescent="0.2">
      <c r="B396"/>
      <c r="C396"/>
      <c r="D396"/>
      <c r="N396" s="1" t="s">
        <v>742</v>
      </c>
    </row>
    <row r="397" spans="2:14" ht="20.100000000000001" customHeight="1" x14ac:dyDescent="0.2">
      <c r="B397"/>
      <c r="C397"/>
      <c r="D397"/>
      <c r="N397" s="1" t="s">
        <v>742</v>
      </c>
    </row>
    <row r="398" spans="2:14" ht="20.100000000000001" customHeight="1" x14ac:dyDescent="0.2">
      <c r="B398"/>
      <c r="C398"/>
      <c r="D398"/>
      <c r="N398" s="1" t="s">
        <v>742</v>
      </c>
    </row>
    <row r="399" spans="2:14" ht="20.100000000000001" customHeight="1" x14ac:dyDescent="0.2">
      <c r="B399"/>
      <c r="C399"/>
      <c r="D399"/>
      <c r="N399" s="1" t="s">
        <v>742</v>
      </c>
    </row>
    <row r="400" spans="2:14" ht="20.100000000000001" customHeight="1" x14ac:dyDescent="0.2">
      <c r="B400"/>
      <c r="C400"/>
      <c r="D400"/>
      <c r="N400" s="1" t="s">
        <v>386</v>
      </c>
    </row>
    <row r="401" spans="2:14" ht="20.100000000000001" customHeight="1" x14ac:dyDescent="0.2">
      <c r="B401"/>
      <c r="C401"/>
      <c r="D401"/>
      <c r="N401" s="1" t="s">
        <v>742</v>
      </c>
    </row>
    <row r="402" spans="2:14" ht="20.100000000000001" customHeight="1" x14ac:dyDescent="0.2">
      <c r="B402"/>
      <c r="C402"/>
      <c r="D402"/>
      <c r="N402" s="1" t="s">
        <v>742</v>
      </c>
    </row>
    <row r="403" spans="2:14" ht="20.100000000000001" customHeight="1" x14ac:dyDescent="0.2">
      <c r="B403"/>
      <c r="C403"/>
      <c r="D403"/>
      <c r="N403" s="1" t="s">
        <v>742</v>
      </c>
    </row>
    <row r="404" spans="2:14" ht="20.100000000000001" customHeight="1" x14ac:dyDescent="0.2">
      <c r="B404"/>
      <c r="C404"/>
      <c r="D404"/>
      <c r="N404" s="1" t="s">
        <v>742</v>
      </c>
    </row>
    <row r="405" spans="2:14" ht="20.100000000000001" customHeight="1" x14ac:dyDescent="0.2">
      <c r="B405"/>
      <c r="C405"/>
      <c r="D405"/>
      <c r="N405" s="1" t="s">
        <v>742</v>
      </c>
    </row>
    <row r="406" spans="2:14" ht="20.100000000000001" customHeight="1" x14ac:dyDescent="0.2">
      <c r="B406"/>
      <c r="C406"/>
      <c r="D406"/>
      <c r="N406" s="1" t="s">
        <v>742</v>
      </c>
    </row>
    <row r="407" spans="2:14" ht="20.100000000000001" customHeight="1" x14ac:dyDescent="0.2">
      <c r="B407"/>
      <c r="C407"/>
      <c r="D407"/>
      <c r="N407" s="1" t="s">
        <v>742</v>
      </c>
    </row>
    <row r="408" spans="2:14" ht="20.100000000000001" customHeight="1" x14ac:dyDescent="0.2">
      <c r="B408"/>
      <c r="C408"/>
      <c r="D408"/>
      <c r="N408" s="1" t="s">
        <v>742</v>
      </c>
    </row>
    <row r="409" spans="2:14" ht="20.100000000000001" customHeight="1" x14ac:dyDescent="0.2">
      <c r="B409"/>
      <c r="C409"/>
      <c r="D409"/>
      <c r="N409" s="1" t="s">
        <v>742</v>
      </c>
    </row>
    <row r="410" spans="2:14" ht="20.100000000000001" customHeight="1" x14ac:dyDescent="0.2">
      <c r="B410"/>
      <c r="C410"/>
      <c r="D410"/>
      <c r="N410" s="1" t="s">
        <v>742</v>
      </c>
    </row>
    <row r="411" spans="2:14" ht="20.100000000000001" customHeight="1" x14ac:dyDescent="0.2">
      <c r="B411"/>
      <c r="C411"/>
      <c r="D411"/>
      <c r="N411" s="1" t="s">
        <v>742</v>
      </c>
    </row>
    <row r="412" spans="2:14" ht="20.100000000000001" customHeight="1" x14ac:dyDescent="0.2">
      <c r="B412"/>
      <c r="C412"/>
      <c r="D412"/>
      <c r="N412" s="1" t="s">
        <v>742</v>
      </c>
    </row>
    <row r="413" spans="2:14" ht="20.100000000000001" customHeight="1" x14ac:dyDescent="0.2">
      <c r="B413"/>
      <c r="C413"/>
      <c r="D413"/>
      <c r="N413" s="1" t="s">
        <v>742</v>
      </c>
    </row>
    <row r="414" spans="2:14" ht="20.100000000000001" customHeight="1" x14ac:dyDescent="0.2">
      <c r="B414"/>
      <c r="C414"/>
      <c r="D414"/>
      <c r="N414" s="1" t="s">
        <v>742</v>
      </c>
    </row>
    <row r="415" spans="2:14" ht="20.100000000000001" customHeight="1" x14ac:dyDescent="0.2">
      <c r="B415"/>
      <c r="C415"/>
      <c r="D415"/>
      <c r="N415" s="1" t="s">
        <v>742</v>
      </c>
    </row>
    <row r="416" spans="2:14" ht="20.100000000000001" customHeight="1" x14ac:dyDescent="0.2">
      <c r="B416"/>
      <c r="C416"/>
      <c r="D416"/>
      <c r="N416" s="1" t="s">
        <v>742</v>
      </c>
    </row>
    <row r="417" spans="2:14" ht="20.100000000000001" customHeight="1" x14ac:dyDescent="0.2">
      <c r="B417"/>
      <c r="C417"/>
      <c r="D417"/>
      <c r="N417" s="1" t="s">
        <v>742</v>
      </c>
    </row>
    <row r="418" spans="2:14" ht="20.100000000000001" customHeight="1" x14ac:dyDescent="0.2">
      <c r="B418"/>
      <c r="C418"/>
      <c r="D418"/>
      <c r="N418" s="1" t="s">
        <v>750</v>
      </c>
    </row>
    <row r="419" spans="2:14" ht="20.100000000000001" customHeight="1" x14ac:dyDescent="0.2">
      <c r="B419"/>
      <c r="C419"/>
      <c r="D419"/>
      <c r="N419" s="1" t="s">
        <v>750</v>
      </c>
    </row>
    <row r="420" spans="2:14" ht="20.100000000000001" customHeight="1" x14ac:dyDescent="0.2">
      <c r="B420"/>
      <c r="C420"/>
      <c r="D420"/>
      <c r="N420" s="1" t="s">
        <v>382</v>
      </c>
    </row>
    <row r="421" spans="2:14" ht="20.100000000000001" customHeight="1" x14ac:dyDescent="0.2">
      <c r="B421"/>
      <c r="C421"/>
      <c r="D421"/>
      <c r="N421" s="1" t="s">
        <v>750</v>
      </c>
    </row>
    <row r="422" spans="2:14" ht="20.100000000000001" customHeight="1" x14ac:dyDescent="0.2">
      <c r="B422"/>
      <c r="C422"/>
      <c r="D422"/>
      <c r="N422" s="1" t="s">
        <v>742</v>
      </c>
    </row>
    <row r="423" spans="2:14" ht="20.100000000000001" customHeight="1" x14ac:dyDescent="0.2">
      <c r="B423"/>
      <c r="C423"/>
      <c r="D423"/>
      <c r="N423" s="1" t="s">
        <v>750</v>
      </c>
    </row>
    <row r="424" spans="2:14" ht="20.100000000000001" customHeight="1" x14ac:dyDescent="0.2">
      <c r="B424"/>
      <c r="C424"/>
      <c r="D424"/>
      <c r="N424" s="1" t="s">
        <v>383</v>
      </c>
    </row>
    <row r="425" spans="2:14" ht="20.100000000000001" customHeight="1" x14ac:dyDescent="0.2">
      <c r="B425"/>
      <c r="C425"/>
      <c r="D425"/>
      <c r="N425" s="1" t="s">
        <v>381</v>
      </c>
    </row>
    <row r="426" spans="2:14" ht="20.100000000000001" customHeight="1" x14ac:dyDescent="0.2">
      <c r="B426"/>
      <c r="C426"/>
      <c r="D426"/>
      <c r="N426" s="1" t="s">
        <v>381</v>
      </c>
    </row>
    <row r="427" spans="2:14" ht="20.100000000000001" customHeight="1" x14ac:dyDescent="0.2">
      <c r="B427"/>
      <c r="C427"/>
      <c r="D427"/>
      <c r="N427" s="1" t="s">
        <v>842</v>
      </c>
    </row>
    <row r="428" spans="2:14" ht="20.100000000000001" customHeight="1" x14ac:dyDescent="0.2">
      <c r="B428"/>
      <c r="C428"/>
      <c r="D428"/>
      <c r="N428" s="1" t="s">
        <v>842</v>
      </c>
    </row>
    <row r="429" spans="2:14" ht="20.100000000000001" customHeight="1" x14ac:dyDescent="0.2">
      <c r="B429"/>
      <c r="C429"/>
      <c r="D429"/>
      <c r="N429" s="1" t="s">
        <v>842</v>
      </c>
    </row>
    <row r="430" spans="2:14" ht="20.100000000000001" customHeight="1" x14ac:dyDescent="0.2">
      <c r="B430"/>
      <c r="C430"/>
      <c r="D430"/>
      <c r="N430" s="1" t="s">
        <v>385</v>
      </c>
    </row>
    <row r="431" spans="2:14" ht="20.100000000000001" customHeight="1" x14ac:dyDescent="0.2">
      <c r="B431"/>
      <c r="C431"/>
      <c r="D431"/>
      <c r="N431" s="1" t="s">
        <v>686</v>
      </c>
    </row>
    <row r="432" spans="2:14" ht="20.100000000000001" customHeight="1" x14ac:dyDescent="0.2">
      <c r="B432"/>
      <c r="C432"/>
      <c r="D432"/>
      <c r="N432" s="1" t="s">
        <v>776</v>
      </c>
    </row>
    <row r="433" spans="2:14" ht="20.100000000000001" customHeight="1" x14ac:dyDescent="0.2">
      <c r="B433"/>
      <c r="C433"/>
      <c r="D433"/>
      <c r="N433" s="1" t="s">
        <v>750</v>
      </c>
    </row>
    <row r="434" spans="2:14" ht="20.100000000000001" customHeight="1" x14ac:dyDescent="0.2">
      <c r="B434"/>
      <c r="C434"/>
      <c r="D434"/>
      <c r="N434" s="1" t="s">
        <v>381</v>
      </c>
    </row>
    <row r="435" spans="2:14" ht="20.100000000000001" customHeight="1" x14ac:dyDescent="0.2">
      <c r="B435"/>
      <c r="C435"/>
      <c r="D435"/>
      <c r="N435" s="1" t="s">
        <v>750</v>
      </c>
    </row>
    <row r="436" spans="2:14" ht="20.100000000000001" customHeight="1" x14ac:dyDescent="0.2">
      <c r="B436"/>
      <c r="C436"/>
      <c r="D436"/>
      <c r="N436" s="1" t="s">
        <v>750</v>
      </c>
    </row>
    <row r="437" spans="2:14" ht="20.100000000000001" customHeight="1" x14ac:dyDescent="0.2">
      <c r="B437"/>
      <c r="C437"/>
      <c r="D437"/>
      <c r="N437" s="1" t="s">
        <v>382</v>
      </c>
    </row>
    <row r="438" spans="2:14" ht="20.100000000000001" customHeight="1" x14ac:dyDescent="0.2">
      <c r="B438"/>
      <c r="C438"/>
      <c r="D438"/>
      <c r="N438" s="1" t="s">
        <v>381</v>
      </c>
    </row>
    <row r="439" spans="2:14" ht="20.100000000000001" customHeight="1" x14ac:dyDescent="0.2">
      <c r="B439"/>
      <c r="C439"/>
      <c r="D439"/>
      <c r="N439" s="1" t="s">
        <v>750</v>
      </c>
    </row>
    <row r="440" spans="2:14" ht="20.100000000000001" customHeight="1" x14ac:dyDescent="0.2">
      <c r="B440"/>
      <c r="C440"/>
      <c r="D440"/>
      <c r="N440" s="1" t="s">
        <v>382</v>
      </c>
    </row>
    <row r="441" spans="2:14" ht="20.100000000000001" customHeight="1" x14ac:dyDescent="0.2">
      <c r="B441"/>
      <c r="C441"/>
      <c r="D441"/>
      <c r="N441" s="1" t="s">
        <v>742</v>
      </c>
    </row>
    <row r="442" spans="2:14" ht="20.100000000000001" customHeight="1" x14ac:dyDescent="0.2">
      <c r="B442"/>
      <c r="C442"/>
      <c r="D442"/>
      <c r="N442" s="1" t="s">
        <v>385</v>
      </c>
    </row>
    <row r="443" spans="2:14" ht="20.100000000000001" customHeight="1" x14ac:dyDescent="0.2">
      <c r="B443"/>
      <c r="C443"/>
      <c r="D443"/>
      <c r="N443" s="1" t="s">
        <v>383</v>
      </c>
    </row>
    <row r="444" spans="2:14" ht="20.100000000000001" customHeight="1" x14ac:dyDescent="0.2">
      <c r="B444"/>
      <c r="C444"/>
      <c r="D444"/>
      <c r="N444" s="1" t="s">
        <v>742</v>
      </c>
    </row>
    <row r="445" spans="2:14" ht="20.100000000000001" customHeight="1" x14ac:dyDescent="0.2">
      <c r="B445"/>
      <c r="C445"/>
      <c r="D445"/>
      <c r="N445" s="1" t="s">
        <v>382</v>
      </c>
    </row>
    <row r="446" spans="2:14" ht="20.100000000000001" customHeight="1" x14ac:dyDescent="0.2">
      <c r="B446"/>
      <c r="C446"/>
      <c r="D446"/>
      <c r="N446" s="1" t="s">
        <v>742</v>
      </c>
    </row>
    <row r="447" spans="2:14" ht="20.100000000000001" customHeight="1" x14ac:dyDescent="0.2">
      <c r="B447"/>
      <c r="C447"/>
      <c r="D447"/>
      <c r="N447" s="1" t="s">
        <v>383</v>
      </c>
    </row>
    <row r="448" spans="2:14" ht="20.100000000000001" customHeight="1" x14ac:dyDescent="0.2">
      <c r="B448"/>
      <c r="C448"/>
      <c r="D448"/>
      <c r="N448" s="1" t="s">
        <v>383</v>
      </c>
    </row>
    <row r="449" spans="2:14" ht="20.100000000000001" customHeight="1" x14ac:dyDescent="0.2">
      <c r="B449"/>
      <c r="C449"/>
      <c r="D449"/>
      <c r="N449" s="1" t="s">
        <v>742</v>
      </c>
    </row>
    <row r="450" spans="2:14" ht="20.100000000000001" customHeight="1" x14ac:dyDescent="0.2">
      <c r="B450"/>
      <c r="C450"/>
      <c r="D450"/>
      <c r="N450" s="1" t="s">
        <v>742</v>
      </c>
    </row>
    <row r="451" spans="2:14" ht="20.100000000000001" customHeight="1" x14ac:dyDescent="0.2">
      <c r="B451"/>
      <c r="C451"/>
      <c r="D451"/>
      <c r="N451" s="1" t="s">
        <v>742</v>
      </c>
    </row>
    <row r="452" spans="2:14" ht="20.100000000000001" customHeight="1" x14ac:dyDescent="0.2">
      <c r="B452"/>
      <c r="C452"/>
      <c r="D452"/>
      <c r="N452" s="1" t="s">
        <v>742</v>
      </c>
    </row>
    <row r="453" spans="2:14" ht="20.100000000000001" customHeight="1" x14ac:dyDescent="0.2">
      <c r="B453"/>
      <c r="C453"/>
      <c r="D453"/>
      <c r="N453" s="1" t="s">
        <v>742</v>
      </c>
    </row>
    <row r="454" spans="2:14" ht="20.100000000000001" customHeight="1" x14ac:dyDescent="0.2">
      <c r="B454"/>
      <c r="C454"/>
      <c r="D454"/>
      <c r="N454" s="1" t="s">
        <v>742</v>
      </c>
    </row>
    <row r="455" spans="2:14" ht="20.100000000000001" customHeight="1" x14ac:dyDescent="0.2">
      <c r="B455"/>
      <c r="C455"/>
      <c r="D455"/>
      <c r="N455" s="1" t="s">
        <v>742</v>
      </c>
    </row>
    <row r="456" spans="2:14" ht="20.100000000000001" customHeight="1" x14ac:dyDescent="0.2">
      <c r="B456"/>
      <c r="C456"/>
      <c r="D456"/>
      <c r="N456" s="1" t="s">
        <v>742</v>
      </c>
    </row>
    <row r="457" spans="2:14" ht="20.100000000000001" customHeight="1" x14ac:dyDescent="0.2">
      <c r="B457"/>
      <c r="C457"/>
      <c r="D457"/>
      <c r="N457" s="1" t="s">
        <v>742</v>
      </c>
    </row>
    <row r="458" spans="2:14" ht="20.100000000000001" customHeight="1" x14ac:dyDescent="0.2">
      <c r="B458"/>
      <c r="C458"/>
      <c r="D458"/>
      <c r="N458" s="1" t="s">
        <v>742</v>
      </c>
    </row>
    <row r="459" spans="2:14" ht="20.100000000000001" customHeight="1" x14ac:dyDescent="0.2">
      <c r="B459"/>
      <c r="C459"/>
      <c r="D459"/>
      <c r="N459" s="1" t="s">
        <v>906</v>
      </c>
    </row>
    <row r="460" spans="2:14" ht="20.100000000000001" customHeight="1" x14ac:dyDescent="0.2">
      <c r="B460"/>
      <c r="C460"/>
      <c r="D460"/>
      <c r="N460" s="1" t="s">
        <v>742</v>
      </c>
    </row>
    <row r="461" spans="2:14" ht="20.100000000000001" customHeight="1" x14ac:dyDescent="0.2">
      <c r="B461"/>
      <c r="C461"/>
      <c r="D461"/>
      <c r="N461" s="1" t="s">
        <v>906</v>
      </c>
    </row>
    <row r="462" spans="2:14" ht="20.100000000000001" customHeight="1" x14ac:dyDescent="0.2">
      <c r="B462"/>
      <c r="C462"/>
      <c r="D462"/>
      <c r="N462" s="1" t="s">
        <v>906</v>
      </c>
    </row>
    <row r="463" spans="2:14" ht="20.100000000000001" customHeight="1" x14ac:dyDescent="0.2">
      <c r="B463"/>
      <c r="C463"/>
      <c r="D463"/>
      <c r="N463" s="1" t="s">
        <v>742</v>
      </c>
    </row>
    <row r="464" spans="2:14" ht="20.100000000000001" customHeight="1" x14ac:dyDescent="0.2">
      <c r="B464"/>
      <c r="C464"/>
      <c r="D464"/>
      <c r="N464" s="1" t="s">
        <v>742</v>
      </c>
    </row>
    <row r="465" spans="2:14" ht="20.100000000000001" customHeight="1" x14ac:dyDescent="0.2">
      <c r="B465"/>
      <c r="C465"/>
      <c r="D465"/>
      <c r="N465" s="1" t="s">
        <v>742</v>
      </c>
    </row>
    <row r="466" spans="2:14" ht="20.100000000000001" customHeight="1" x14ac:dyDescent="0.2">
      <c r="B466"/>
      <c r="C466"/>
      <c r="D466"/>
      <c r="N466" s="1" t="s">
        <v>742</v>
      </c>
    </row>
    <row r="467" spans="2:14" ht="20.100000000000001" customHeight="1" x14ac:dyDescent="0.2">
      <c r="B467"/>
      <c r="C467"/>
      <c r="D467"/>
      <c r="N467" s="1" t="s">
        <v>843</v>
      </c>
    </row>
    <row r="468" spans="2:14" ht="20.100000000000001" customHeight="1" x14ac:dyDescent="0.2">
      <c r="B468"/>
      <c r="C468"/>
      <c r="D468"/>
      <c r="N468" s="1" t="s">
        <v>742</v>
      </c>
    </row>
    <row r="469" spans="2:14" ht="20.100000000000001" customHeight="1" x14ac:dyDescent="0.2">
      <c r="B469"/>
      <c r="C469"/>
      <c r="D469"/>
      <c r="N469" s="1" t="s">
        <v>742</v>
      </c>
    </row>
    <row r="470" spans="2:14" ht="20.100000000000001" customHeight="1" x14ac:dyDescent="0.2">
      <c r="B470"/>
      <c r="C470"/>
      <c r="D470"/>
      <c r="N470" s="1" t="s">
        <v>742</v>
      </c>
    </row>
    <row r="471" spans="2:14" ht="20.100000000000001" customHeight="1" x14ac:dyDescent="0.2">
      <c r="B471"/>
      <c r="C471"/>
      <c r="D471"/>
      <c r="N471" s="1" t="s">
        <v>742</v>
      </c>
    </row>
    <row r="472" spans="2:14" ht="20.100000000000001" customHeight="1" x14ac:dyDescent="0.2">
      <c r="B472"/>
      <c r="C472"/>
      <c r="D472"/>
      <c r="N472" s="1" t="s">
        <v>742</v>
      </c>
    </row>
    <row r="473" spans="2:14" ht="20.100000000000001" customHeight="1" x14ac:dyDescent="0.2">
      <c r="B473"/>
      <c r="C473"/>
      <c r="D473"/>
      <c r="N473" s="1" t="s">
        <v>742</v>
      </c>
    </row>
    <row r="474" spans="2:14" ht="20.100000000000001" customHeight="1" x14ac:dyDescent="0.2">
      <c r="B474"/>
      <c r="C474"/>
      <c r="D474"/>
      <c r="N474" s="1" t="s">
        <v>742</v>
      </c>
    </row>
    <row r="475" spans="2:14" ht="20.100000000000001" customHeight="1" x14ac:dyDescent="0.2">
      <c r="B475"/>
      <c r="C475"/>
      <c r="D475"/>
      <c r="N475" s="1" t="s">
        <v>742</v>
      </c>
    </row>
    <row r="476" spans="2:14" ht="20.100000000000001" customHeight="1" x14ac:dyDescent="0.2">
      <c r="B476"/>
      <c r="C476"/>
      <c r="D476"/>
      <c r="N476" s="1" t="s">
        <v>742</v>
      </c>
    </row>
    <row r="477" spans="2:14" ht="20.100000000000001" customHeight="1" x14ac:dyDescent="0.2">
      <c r="B477"/>
      <c r="C477"/>
      <c r="D477"/>
      <c r="N477" s="1" t="s">
        <v>742</v>
      </c>
    </row>
    <row r="478" spans="2:14" ht="20.100000000000001" customHeight="1" x14ac:dyDescent="0.2">
      <c r="B478"/>
      <c r="C478"/>
      <c r="D478"/>
      <c r="N478" s="1" t="s">
        <v>742</v>
      </c>
    </row>
    <row r="479" spans="2:14" ht="20.100000000000001" customHeight="1" x14ac:dyDescent="0.2">
      <c r="B479"/>
      <c r="C479"/>
      <c r="D479"/>
      <c r="N479" s="1" t="s">
        <v>742</v>
      </c>
    </row>
    <row r="480" spans="2:14" ht="20.100000000000001" customHeight="1" x14ac:dyDescent="0.2">
      <c r="B480"/>
      <c r="C480"/>
      <c r="D480"/>
      <c r="N480" s="1" t="s">
        <v>742</v>
      </c>
    </row>
    <row r="481" spans="2:14" ht="20.100000000000001" customHeight="1" x14ac:dyDescent="0.2">
      <c r="B481"/>
      <c r="C481"/>
      <c r="D481"/>
      <c r="N481" s="1" t="s">
        <v>742</v>
      </c>
    </row>
    <row r="482" spans="2:14" ht="20.100000000000001" customHeight="1" x14ac:dyDescent="0.2">
      <c r="B482"/>
      <c r="C482"/>
      <c r="D482"/>
      <c r="N482" s="1" t="s">
        <v>742</v>
      </c>
    </row>
    <row r="483" spans="2:14" ht="20.100000000000001" customHeight="1" x14ac:dyDescent="0.2">
      <c r="B483"/>
      <c r="C483"/>
      <c r="D483"/>
      <c r="N483" s="1" t="s">
        <v>742</v>
      </c>
    </row>
    <row r="484" spans="2:14" ht="20.100000000000001" customHeight="1" x14ac:dyDescent="0.2">
      <c r="B484"/>
      <c r="C484"/>
      <c r="D484"/>
      <c r="N484" s="1" t="s">
        <v>742</v>
      </c>
    </row>
    <row r="485" spans="2:14" ht="20.100000000000001" customHeight="1" x14ac:dyDescent="0.2">
      <c r="B485"/>
      <c r="C485"/>
      <c r="D485"/>
      <c r="N485" s="1" t="s">
        <v>742</v>
      </c>
    </row>
    <row r="486" spans="2:14" ht="20.100000000000001" customHeight="1" x14ac:dyDescent="0.2">
      <c r="B486"/>
      <c r="C486"/>
      <c r="D486"/>
      <c r="N486" s="1" t="s">
        <v>742</v>
      </c>
    </row>
    <row r="487" spans="2:14" ht="20.100000000000001" customHeight="1" x14ac:dyDescent="0.2">
      <c r="B487"/>
      <c r="C487"/>
      <c r="D487"/>
      <c r="N487" s="1" t="s">
        <v>742</v>
      </c>
    </row>
    <row r="488" spans="2:14" ht="20.100000000000001" customHeight="1" x14ac:dyDescent="0.2">
      <c r="B488"/>
      <c r="C488"/>
      <c r="D488"/>
      <c r="N488" s="1" t="s">
        <v>906</v>
      </c>
    </row>
    <row r="489" spans="2:14" ht="20.100000000000001" customHeight="1" x14ac:dyDescent="0.2">
      <c r="B489"/>
      <c r="C489"/>
      <c r="D489"/>
      <c r="N489" s="1" t="s">
        <v>906</v>
      </c>
    </row>
    <row r="490" spans="2:14" ht="20.100000000000001" customHeight="1" x14ac:dyDescent="0.2">
      <c r="B490"/>
      <c r="C490"/>
      <c r="D490"/>
      <c r="N490" s="1" t="s">
        <v>742</v>
      </c>
    </row>
    <row r="491" spans="2:14" ht="20.100000000000001" customHeight="1" x14ac:dyDescent="0.2">
      <c r="B491"/>
      <c r="C491"/>
      <c r="D491"/>
      <c r="N491" s="1" t="s">
        <v>742</v>
      </c>
    </row>
    <row r="492" spans="2:14" ht="20.100000000000001" customHeight="1" x14ac:dyDescent="0.2">
      <c r="B492"/>
      <c r="C492"/>
      <c r="D492"/>
      <c r="N492" s="1" t="s">
        <v>742</v>
      </c>
    </row>
    <row r="493" spans="2:14" ht="20.100000000000001" customHeight="1" x14ac:dyDescent="0.2">
      <c r="B493"/>
      <c r="C493"/>
      <c r="D493"/>
      <c r="N493" s="1" t="s">
        <v>742</v>
      </c>
    </row>
    <row r="494" spans="2:14" ht="20.100000000000001" customHeight="1" x14ac:dyDescent="0.2">
      <c r="B494"/>
      <c r="C494"/>
      <c r="D494"/>
      <c r="N494" s="1" t="s">
        <v>742</v>
      </c>
    </row>
    <row r="495" spans="2:14" ht="20.100000000000001" customHeight="1" x14ac:dyDescent="0.2">
      <c r="B495"/>
      <c r="C495"/>
      <c r="D495"/>
      <c r="N495" s="1" t="s">
        <v>742</v>
      </c>
    </row>
    <row r="496" spans="2:14" ht="20.100000000000001" customHeight="1" x14ac:dyDescent="0.2">
      <c r="B496"/>
      <c r="C496"/>
      <c r="D496"/>
      <c r="N496" s="1" t="s">
        <v>742</v>
      </c>
    </row>
    <row r="497" spans="2:14" ht="20.100000000000001" customHeight="1" x14ac:dyDescent="0.2">
      <c r="B497"/>
      <c r="C497"/>
      <c r="D497"/>
      <c r="N497" s="1" t="s">
        <v>742</v>
      </c>
    </row>
    <row r="498" spans="2:14" ht="20.100000000000001" customHeight="1" x14ac:dyDescent="0.2">
      <c r="B498"/>
      <c r="C498"/>
      <c r="D498"/>
      <c r="N498" s="1" t="s">
        <v>742</v>
      </c>
    </row>
    <row r="499" spans="2:14" ht="20.100000000000001" customHeight="1" x14ac:dyDescent="0.2">
      <c r="B499"/>
      <c r="C499"/>
      <c r="D499"/>
      <c r="N499" s="1" t="s">
        <v>742</v>
      </c>
    </row>
    <row r="500" spans="2:14" ht="20.100000000000001" customHeight="1" x14ac:dyDescent="0.2">
      <c r="B500"/>
      <c r="C500"/>
      <c r="D500"/>
      <c r="N500" s="1" t="s">
        <v>742</v>
      </c>
    </row>
    <row r="501" spans="2:14" ht="20.100000000000001" customHeight="1" x14ac:dyDescent="0.2">
      <c r="B501"/>
      <c r="C501"/>
      <c r="D501"/>
      <c r="N501" s="1" t="s">
        <v>742</v>
      </c>
    </row>
    <row r="502" spans="2:14" ht="20.100000000000001" customHeight="1" x14ac:dyDescent="0.2">
      <c r="B502"/>
      <c r="C502"/>
      <c r="D502"/>
      <c r="N502" s="1" t="s">
        <v>742</v>
      </c>
    </row>
    <row r="503" spans="2:14" ht="20.100000000000001" customHeight="1" x14ac:dyDescent="0.2">
      <c r="B503"/>
      <c r="C503"/>
      <c r="D503"/>
      <c r="N503" s="1" t="s">
        <v>742</v>
      </c>
    </row>
    <row r="504" spans="2:14" ht="20.100000000000001" customHeight="1" x14ac:dyDescent="0.2">
      <c r="B504"/>
      <c r="C504"/>
      <c r="D504"/>
      <c r="N504" s="1" t="s">
        <v>742</v>
      </c>
    </row>
    <row r="505" spans="2:14" ht="20.100000000000001" customHeight="1" x14ac:dyDescent="0.2">
      <c r="B505"/>
      <c r="C505"/>
      <c r="D505"/>
      <c r="N505" s="1" t="s">
        <v>742</v>
      </c>
    </row>
    <row r="506" spans="2:14" ht="20.100000000000001" customHeight="1" x14ac:dyDescent="0.2">
      <c r="B506"/>
      <c r="C506"/>
      <c r="D506"/>
      <c r="N506" s="1" t="s">
        <v>742</v>
      </c>
    </row>
    <row r="507" spans="2:14" ht="20.100000000000001" customHeight="1" x14ac:dyDescent="0.2">
      <c r="B507"/>
      <c r="C507"/>
      <c r="D507"/>
      <c r="N507" s="1" t="s">
        <v>742</v>
      </c>
    </row>
    <row r="508" spans="2:14" ht="20.100000000000001" customHeight="1" x14ac:dyDescent="0.2">
      <c r="B508"/>
      <c r="C508"/>
      <c r="D508"/>
      <c r="N508" s="1" t="s">
        <v>742</v>
      </c>
    </row>
    <row r="509" spans="2:14" ht="20.100000000000001" customHeight="1" x14ac:dyDescent="0.2">
      <c r="B509"/>
      <c r="C509"/>
      <c r="D509"/>
      <c r="N509" s="1" t="s">
        <v>742</v>
      </c>
    </row>
    <row r="510" spans="2:14" ht="20.100000000000001" customHeight="1" x14ac:dyDescent="0.2">
      <c r="B510"/>
      <c r="C510"/>
      <c r="D510"/>
      <c r="N510" s="1" t="s">
        <v>742</v>
      </c>
    </row>
    <row r="511" spans="2:14" ht="20.100000000000001" customHeight="1" x14ac:dyDescent="0.2">
      <c r="B511"/>
      <c r="C511"/>
      <c r="D511"/>
      <c r="N511" s="1" t="s">
        <v>742</v>
      </c>
    </row>
    <row r="512" spans="2:14" ht="20.100000000000001" customHeight="1" x14ac:dyDescent="0.2">
      <c r="B512"/>
      <c r="C512"/>
      <c r="D512"/>
      <c r="N512" s="1" t="s">
        <v>742</v>
      </c>
    </row>
    <row r="513" spans="2:14" ht="20.100000000000001" customHeight="1" x14ac:dyDescent="0.2">
      <c r="B513"/>
      <c r="C513"/>
      <c r="D513"/>
      <c r="N513" s="1" t="s">
        <v>742</v>
      </c>
    </row>
    <row r="514" spans="2:14" ht="20.100000000000001" customHeight="1" x14ac:dyDescent="0.2">
      <c r="B514"/>
      <c r="C514"/>
      <c r="D514"/>
      <c r="N514" s="1" t="s">
        <v>742</v>
      </c>
    </row>
    <row r="515" spans="2:14" ht="20.100000000000001" customHeight="1" x14ac:dyDescent="0.2">
      <c r="B515"/>
      <c r="C515"/>
      <c r="D515"/>
      <c r="N515" s="1" t="s">
        <v>742</v>
      </c>
    </row>
    <row r="516" spans="2:14" ht="20.100000000000001" customHeight="1" x14ac:dyDescent="0.2">
      <c r="B516"/>
      <c r="C516"/>
      <c r="D516"/>
      <c r="N516" s="1" t="s">
        <v>742</v>
      </c>
    </row>
    <row r="517" spans="2:14" ht="20.100000000000001" customHeight="1" x14ac:dyDescent="0.2">
      <c r="B517"/>
      <c r="C517"/>
      <c r="D517"/>
      <c r="N517" s="1" t="s">
        <v>742</v>
      </c>
    </row>
    <row r="518" spans="2:14" ht="20.100000000000001" customHeight="1" x14ac:dyDescent="0.2">
      <c r="B518"/>
      <c r="C518"/>
      <c r="D518"/>
      <c r="N518" s="1" t="s">
        <v>742</v>
      </c>
    </row>
    <row r="519" spans="2:14" ht="20.100000000000001" customHeight="1" x14ac:dyDescent="0.2">
      <c r="B519"/>
      <c r="C519"/>
      <c r="D519"/>
      <c r="N519" s="1" t="s">
        <v>742</v>
      </c>
    </row>
    <row r="520" spans="2:14" ht="20.100000000000001" customHeight="1" x14ac:dyDescent="0.2">
      <c r="B520"/>
      <c r="C520"/>
      <c r="D520"/>
      <c r="N520" s="1" t="s">
        <v>742</v>
      </c>
    </row>
    <row r="521" spans="2:14" ht="20.100000000000001" customHeight="1" x14ac:dyDescent="0.2">
      <c r="B521"/>
      <c r="C521"/>
      <c r="D521"/>
      <c r="N521" s="1" t="s">
        <v>742</v>
      </c>
    </row>
    <row r="522" spans="2:14" ht="20.100000000000001" customHeight="1" x14ac:dyDescent="0.2">
      <c r="B522"/>
      <c r="C522"/>
      <c r="D522"/>
      <c r="N522" s="1" t="s">
        <v>742</v>
      </c>
    </row>
    <row r="523" spans="2:14" ht="20.100000000000001" customHeight="1" x14ac:dyDescent="0.2">
      <c r="B523"/>
      <c r="C523"/>
      <c r="D523"/>
      <c r="N523" s="1" t="s">
        <v>742</v>
      </c>
    </row>
    <row r="524" spans="2:14" ht="20.100000000000001" customHeight="1" x14ac:dyDescent="0.2">
      <c r="B524"/>
      <c r="C524"/>
      <c r="D524"/>
      <c r="N524" s="1" t="s">
        <v>742</v>
      </c>
    </row>
    <row r="525" spans="2:14" ht="20.100000000000001" customHeight="1" x14ac:dyDescent="0.2">
      <c r="B525"/>
      <c r="C525"/>
      <c r="D525"/>
      <c r="N525" s="1" t="s">
        <v>742</v>
      </c>
    </row>
    <row r="526" spans="2:14" ht="20.100000000000001" customHeight="1" x14ac:dyDescent="0.2">
      <c r="B526"/>
      <c r="C526"/>
      <c r="D526"/>
      <c r="N526" s="1" t="s">
        <v>742</v>
      </c>
    </row>
    <row r="527" spans="2:14" ht="20.100000000000001" customHeight="1" x14ac:dyDescent="0.2">
      <c r="B527"/>
      <c r="C527"/>
      <c r="D527"/>
      <c r="N527" s="1" t="s">
        <v>742</v>
      </c>
    </row>
    <row r="528" spans="2:14" ht="20.100000000000001" customHeight="1" x14ac:dyDescent="0.2">
      <c r="B528"/>
      <c r="C528"/>
      <c r="D528"/>
      <c r="N528" s="1" t="s">
        <v>742</v>
      </c>
    </row>
    <row r="529" spans="2:14" ht="20.100000000000001" customHeight="1" x14ac:dyDescent="0.2">
      <c r="B529"/>
      <c r="C529"/>
      <c r="D529"/>
      <c r="N529" s="1" t="s">
        <v>742</v>
      </c>
    </row>
    <row r="530" spans="2:14" ht="20.100000000000001" customHeight="1" x14ac:dyDescent="0.2">
      <c r="B530"/>
      <c r="C530"/>
      <c r="D530"/>
      <c r="N530" s="1" t="s">
        <v>742</v>
      </c>
    </row>
    <row r="531" spans="2:14" ht="20.100000000000001" customHeight="1" x14ac:dyDescent="0.2">
      <c r="B531"/>
      <c r="C531"/>
      <c r="D531"/>
      <c r="N531" s="1" t="s">
        <v>742</v>
      </c>
    </row>
    <row r="532" spans="2:14" ht="20.100000000000001" customHeight="1" x14ac:dyDescent="0.2">
      <c r="B532"/>
      <c r="C532"/>
      <c r="D532"/>
      <c r="N532" s="1" t="s">
        <v>742</v>
      </c>
    </row>
    <row r="533" spans="2:14" ht="20.100000000000001" customHeight="1" x14ac:dyDescent="0.2">
      <c r="B533"/>
      <c r="C533"/>
      <c r="D533"/>
      <c r="N533" s="1" t="s">
        <v>742</v>
      </c>
    </row>
    <row r="534" spans="2:14" ht="20.100000000000001" customHeight="1" x14ac:dyDescent="0.2">
      <c r="B534"/>
      <c r="C534"/>
      <c r="D534"/>
      <c r="N534" s="1" t="s">
        <v>742</v>
      </c>
    </row>
    <row r="535" spans="2:14" ht="20.100000000000001" customHeight="1" x14ac:dyDescent="0.2">
      <c r="B535"/>
      <c r="C535"/>
      <c r="D535"/>
      <c r="N535" s="1" t="s">
        <v>742</v>
      </c>
    </row>
    <row r="536" spans="2:14" ht="20.100000000000001" customHeight="1" x14ac:dyDescent="0.2">
      <c r="B536"/>
      <c r="C536"/>
      <c r="D536"/>
      <c r="N536" s="1" t="s">
        <v>742</v>
      </c>
    </row>
    <row r="537" spans="2:14" ht="20.100000000000001" customHeight="1" x14ac:dyDescent="0.2">
      <c r="B537"/>
      <c r="C537"/>
      <c r="D537"/>
      <c r="N537" s="1" t="s">
        <v>742</v>
      </c>
    </row>
    <row r="538" spans="2:14" ht="20.100000000000001" customHeight="1" x14ac:dyDescent="0.2">
      <c r="B538"/>
      <c r="C538"/>
      <c r="D538"/>
      <c r="N538" s="1" t="s">
        <v>742</v>
      </c>
    </row>
    <row r="539" spans="2:14" ht="20.100000000000001" customHeight="1" x14ac:dyDescent="0.2">
      <c r="B539"/>
      <c r="C539"/>
      <c r="D539"/>
      <c r="N539" s="1" t="s">
        <v>742</v>
      </c>
    </row>
    <row r="540" spans="2:14" ht="20.100000000000001" customHeight="1" x14ac:dyDescent="0.2">
      <c r="B540"/>
      <c r="C540"/>
      <c r="D540"/>
      <c r="N540" s="1" t="s">
        <v>742</v>
      </c>
    </row>
    <row r="541" spans="2:14" ht="20.100000000000001" customHeight="1" x14ac:dyDescent="0.2">
      <c r="B541"/>
      <c r="C541"/>
      <c r="D541"/>
      <c r="N541" s="1" t="s">
        <v>742</v>
      </c>
    </row>
    <row r="542" spans="2:14" ht="20.100000000000001" customHeight="1" x14ac:dyDescent="0.2">
      <c r="B542"/>
      <c r="C542"/>
      <c r="D542"/>
      <c r="N542" s="1" t="s">
        <v>742</v>
      </c>
    </row>
    <row r="543" spans="2:14" ht="20.100000000000001" customHeight="1" x14ac:dyDescent="0.2">
      <c r="B543"/>
      <c r="C543"/>
      <c r="D543"/>
      <c r="N543" s="1" t="s">
        <v>742</v>
      </c>
    </row>
    <row r="544" spans="2:14" ht="20.100000000000001" customHeight="1" x14ac:dyDescent="0.2">
      <c r="B544"/>
      <c r="C544"/>
      <c r="D544"/>
      <c r="N544" s="1" t="s">
        <v>742</v>
      </c>
    </row>
    <row r="545" spans="2:14" ht="20.100000000000001" customHeight="1" x14ac:dyDescent="0.2">
      <c r="B545"/>
      <c r="C545"/>
      <c r="D545"/>
      <c r="N545" s="1" t="s">
        <v>742</v>
      </c>
    </row>
    <row r="546" spans="2:14" ht="20.100000000000001" customHeight="1" x14ac:dyDescent="0.2">
      <c r="B546"/>
      <c r="C546"/>
      <c r="D546"/>
      <c r="N546" s="1" t="s">
        <v>742</v>
      </c>
    </row>
    <row r="547" spans="2:14" ht="20.100000000000001" customHeight="1" x14ac:dyDescent="0.2">
      <c r="B547"/>
      <c r="C547"/>
      <c r="D547"/>
      <c r="N547" s="1" t="s">
        <v>742</v>
      </c>
    </row>
    <row r="548" spans="2:14" ht="20.100000000000001" customHeight="1" x14ac:dyDescent="0.2">
      <c r="B548"/>
      <c r="C548"/>
      <c r="D548"/>
      <c r="N548" s="1" t="s">
        <v>742</v>
      </c>
    </row>
    <row r="549" spans="2:14" ht="20.100000000000001" customHeight="1" x14ac:dyDescent="0.2">
      <c r="B549"/>
      <c r="C549"/>
      <c r="D549"/>
      <c r="N549" s="1" t="s">
        <v>742</v>
      </c>
    </row>
    <row r="550" spans="2:14" ht="20.100000000000001" customHeight="1" x14ac:dyDescent="0.2">
      <c r="B550"/>
      <c r="C550"/>
      <c r="D550"/>
      <c r="N550" s="1" t="s">
        <v>742</v>
      </c>
    </row>
    <row r="551" spans="2:14" ht="20.100000000000001" customHeight="1" x14ac:dyDescent="0.2">
      <c r="B551"/>
      <c r="C551"/>
      <c r="D551"/>
      <c r="N551" s="1" t="s">
        <v>742</v>
      </c>
    </row>
    <row r="552" spans="2:14" ht="20.100000000000001" customHeight="1" x14ac:dyDescent="0.2">
      <c r="B552"/>
      <c r="C552"/>
      <c r="D552"/>
      <c r="N552" s="1" t="s">
        <v>742</v>
      </c>
    </row>
    <row r="553" spans="2:14" ht="20.100000000000001" customHeight="1" x14ac:dyDescent="0.2">
      <c r="B553"/>
      <c r="C553"/>
      <c r="D553"/>
      <c r="N553" s="1" t="s">
        <v>742</v>
      </c>
    </row>
    <row r="554" spans="2:14" ht="20.100000000000001" customHeight="1" x14ac:dyDescent="0.2">
      <c r="B554"/>
      <c r="C554"/>
      <c r="D554"/>
      <c r="N554" s="1" t="s">
        <v>742</v>
      </c>
    </row>
    <row r="555" spans="2:14" ht="20.100000000000001" customHeight="1" x14ac:dyDescent="0.2">
      <c r="B555"/>
      <c r="C555"/>
      <c r="D555"/>
      <c r="N555" s="1" t="s">
        <v>742</v>
      </c>
    </row>
    <row r="556" spans="2:14" ht="20.100000000000001" customHeight="1" x14ac:dyDescent="0.2">
      <c r="B556"/>
      <c r="C556"/>
      <c r="D556"/>
      <c r="N556" s="1" t="s">
        <v>742</v>
      </c>
    </row>
    <row r="557" spans="2:14" ht="20.100000000000001" customHeight="1" x14ac:dyDescent="0.2">
      <c r="B557"/>
      <c r="C557"/>
      <c r="D557"/>
      <c r="N557" s="1" t="s">
        <v>742</v>
      </c>
    </row>
    <row r="558" spans="2:14" ht="20.100000000000001" customHeight="1" x14ac:dyDescent="0.2">
      <c r="B558"/>
      <c r="C558"/>
      <c r="D558"/>
      <c r="N558" s="1" t="s">
        <v>742</v>
      </c>
    </row>
    <row r="559" spans="2:14" ht="20.100000000000001" customHeight="1" x14ac:dyDescent="0.2">
      <c r="B559"/>
      <c r="C559"/>
      <c r="D559"/>
      <c r="N559" s="1" t="s">
        <v>742</v>
      </c>
    </row>
    <row r="560" spans="2:14" ht="20.100000000000001" customHeight="1" x14ac:dyDescent="0.2">
      <c r="B560"/>
      <c r="C560"/>
      <c r="D560"/>
      <c r="N560" s="1" t="s">
        <v>742</v>
      </c>
    </row>
    <row r="561" spans="2:14" ht="20.100000000000001" customHeight="1" x14ac:dyDescent="0.2">
      <c r="B561"/>
      <c r="C561"/>
      <c r="D561"/>
      <c r="N561" s="1" t="s">
        <v>742</v>
      </c>
    </row>
    <row r="562" spans="2:14" ht="20.100000000000001" customHeight="1" x14ac:dyDescent="0.2">
      <c r="B562"/>
      <c r="C562"/>
      <c r="D562"/>
      <c r="N562" s="1" t="s">
        <v>742</v>
      </c>
    </row>
    <row r="563" spans="2:14" ht="20.100000000000001" customHeight="1" x14ac:dyDescent="0.2">
      <c r="B563"/>
      <c r="C563"/>
      <c r="D563"/>
      <c r="N563" s="1" t="s">
        <v>742</v>
      </c>
    </row>
    <row r="564" spans="2:14" ht="20.100000000000001" customHeight="1" x14ac:dyDescent="0.2">
      <c r="B564"/>
      <c r="C564"/>
      <c r="D564"/>
      <c r="N564" s="1" t="s">
        <v>742</v>
      </c>
    </row>
    <row r="565" spans="2:14" ht="20.100000000000001" customHeight="1" x14ac:dyDescent="0.2">
      <c r="B565"/>
      <c r="C565"/>
      <c r="D565"/>
      <c r="N565" s="1" t="s">
        <v>742</v>
      </c>
    </row>
    <row r="566" spans="2:14" ht="20.100000000000001" customHeight="1" x14ac:dyDescent="0.2">
      <c r="B566"/>
      <c r="C566"/>
      <c r="D566"/>
      <c r="N566" s="1" t="s">
        <v>742</v>
      </c>
    </row>
    <row r="567" spans="2:14" ht="20.100000000000001" customHeight="1" x14ac:dyDescent="0.2">
      <c r="B567"/>
      <c r="C567"/>
      <c r="D567"/>
      <c r="N567" s="1" t="s">
        <v>742</v>
      </c>
    </row>
    <row r="568" spans="2:14" ht="20.100000000000001" customHeight="1" x14ac:dyDescent="0.2">
      <c r="B568"/>
      <c r="C568"/>
      <c r="D568"/>
      <c r="N568" s="1" t="s">
        <v>742</v>
      </c>
    </row>
    <row r="569" spans="2:14" ht="20.100000000000001" customHeight="1" x14ac:dyDescent="0.2">
      <c r="B569"/>
      <c r="C569"/>
      <c r="D569"/>
      <c r="N569" s="1" t="s">
        <v>742</v>
      </c>
    </row>
    <row r="570" spans="2:14" ht="20.100000000000001" customHeight="1" x14ac:dyDescent="0.2">
      <c r="B570"/>
      <c r="C570"/>
      <c r="D570"/>
      <c r="N570" s="1" t="s">
        <v>742</v>
      </c>
    </row>
    <row r="571" spans="2:14" ht="20.100000000000001" customHeight="1" x14ac:dyDescent="0.2">
      <c r="B571"/>
      <c r="C571"/>
      <c r="D571"/>
      <c r="N571" s="1" t="s">
        <v>742</v>
      </c>
    </row>
    <row r="572" spans="2:14" ht="20.100000000000001" customHeight="1" x14ac:dyDescent="0.2">
      <c r="B572"/>
      <c r="C572"/>
      <c r="D572"/>
      <c r="N572" s="1" t="s">
        <v>742</v>
      </c>
    </row>
    <row r="573" spans="2:14" ht="20.100000000000001" customHeight="1" x14ac:dyDescent="0.2">
      <c r="B573"/>
      <c r="C573"/>
      <c r="D573"/>
      <c r="N573" s="1" t="s">
        <v>742</v>
      </c>
    </row>
    <row r="574" spans="2:14" ht="20.100000000000001" customHeight="1" x14ac:dyDescent="0.2">
      <c r="B574"/>
      <c r="C574"/>
      <c r="D574"/>
      <c r="N574" s="1" t="s">
        <v>742</v>
      </c>
    </row>
    <row r="575" spans="2:14" ht="20.100000000000001" customHeight="1" x14ac:dyDescent="0.2">
      <c r="B575"/>
      <c r="C575"/>
      <c r="D575"/>
      <c r="N575" s="1" t="s">
        <v>742</v>
      </c>
    </row>
    <row r="576" spans="2:14" ht="20.100000000000001" customHeight="1" x14ac:dyDescent="0.2">
      <c r="B576"/>
      <c r="C576"/>
      <c r="D576"/>
      <c r="N576" s="1" t="s">
        <v>742</v>
      </c>
    </row>
    <row r="577" spans="2:14" ht="20.100000000000001" customHeight="1" x14ac:dyDescent="0.2">
      <c r="B577"/>
      <c r="C577"/>
      <c r="D577"/>
      <c r="N577" s="1" t="s">
        <v>742</v>
      </c>
    </row>
    <row r="578" spans="2:14" ht="20.100000000000001" customHeight="1" x14ac:dyDescent="0.2">
      <c r="B578"/>
      <c r="C578"/>
      <c r="D578"/>
      <c r="N578" s="1" t="s">
        <v>742</v>
      </c>
    </row>
    <row r="579" spans="2:14" ht="20.100000000000001" customHeight="1" x14ac:dyDescent="0.2">
      <c r="B579"/>
      <c r="C579"/>
      <c r="D579"/>
      <c r="N579" s="1" t="s">
        <v>742</v>
      </c>
    </row>
    <row r="580" spans="2:14" ht="20.100000000000001" customHeight="1" x14ac:dyDescent="0.2">
      <c r="B580"/>
      <c r="C580"/>
      <c r="D580"/>
      <c r="N580" s="1" t="s">
        <v>742</v>
      </c>
    </row>
    <row r="581" spans="2:14" ht="20.100000000000001" customHeight="1" x14ac:dyDescent="0.2">
      <c r="B581"/>
      <c r="C581"/>
      <c r="D581"/>
      <c r="N581" s="1" t="s">
        <v>742</v>
      </c>
    </row>
    <row r="582" spans="2:14" ht="20.100000000000001" customHeight="1" x14ac:dyDescent="0.2">
      <c r="B582"/>
      <c r="C582"/>
      <c r="D582"/>
      <c r="N582" s="1" t="s">
        <v>742</v>
      </c>
    </row>
    <row r="583" spans="2:14" ht="20.100000000000001" customHeight="1" x14ac:dyDescent="0.2">
      <c r="B583"/>
      <c r="C583"/>
      <c r="D583"/>
      <c r="N583" s="1" t="s">
        <v>742</v>
      </c>
    </row>
    <row r="584" spans="2:14" ht="20.100000000000001" customHeight="1" x14ac:dyDescent="0.2">
      <c r="B584"/>
      <c r="C584"/>
      <c r="D584"/>
      <c r="N584" s="1" t="s">
        <v>742</v>
      </c>
    </row>
    <row r="585" spans="2:14" ht="20.100000000000001" customHeight="1" x14ac:dyDescent="0.2">
      <c r="B585"/>
      <c r="C585"/>
      <c r="D585"/>
      <c r="N585" s="1" t="s">
        <v>742</v>
      </c>
    </row>
    <row r="586" spans="2:14" ht="20.100000000000001" customHeight="1" x14ac:dyDescent="0.2">
      <c r="B586"/>
      <c r="C586"/>
      <c r="D586"/>
      <c r="N586" s="1" t="s">
        <v>742</v>
      </c>
    </row>
    <row r="587" spans="2:14" ht="20.100000000000001" customHeight="1" x14ac:dyDescent="0.2">
      <c r="B587"/>
      <c r="C587"/>
      <c r="D587"/>
      <c r="N587" s="1" t="s">
        <v>742</v>
      </c>
    </row>
    <row r="588" spans="2:14" ht="20.100000000000001" customHeight="1" x14ac:dyDescent="0.2">
      <c r="B588"/>
      <c r="C588"/>
      <c r="D588"/>
      <c r="N588" s="1" t="s">
        <v>742</v>
      </c>
    </row>
    <row r="589" spans="2:14" ht="20.100000000000001" customHeight="1" x14ac:dyDescent="0.2">
      <c r="B589"/>
      <c r="C589"/>
      <c r="D589"/>
      <c r="N589" s="1" t="s">
        <v>742</v>
      </c>
    </row>
    <row r="590" spans="2:14" ht="20.100000000000001" customHeight="1" x14ac:dyDescent="0.2">
      <c r="B590"/>
      <c r="C590"/>
      <c r="D590"/>
      <c r="N590" s="1" t="s">
        <v>742</v>
      </c>
    </row>
    <row r="591" spans="2:14" ht="20.100000000000001" customHeight="1" x14ac:dyDescent="0.2">
      <c r="B591"/>
      <c r="C591"/>
      <c r="D591"/>
      <c r="N591" s="1" t="s">
        <v>742</v>
      </c>
    </row>
    <row r="592" spans="2:14" ht="20.100000000000001" customHeight="1" x14ac:dyDescent="0.2">
      <c r="B592"/>
      <c r="C592"/>
      <c r="D592"/>
      <c r="N592" s="1" t="s">
        <v>742</v>
      </c>
    </row>
    <row r="593" spans="2:14" ht="20.100000000000001" customHeight="1" x14ac:dyDescent="0.2">
      <c r="B593"/>
      <c r="C593"/>
      <c r="D593"/>
      <c r="N593" s="1" t="s">
        <v>742</v>
      </c>
    </row>
    <row r="594" spans="2:14" ht="20.100000000000001" customHeight="1" x14ac:dyDescent="0.2">
      <c r="B594"/>
      <c r="C594"/>
      <c r="D594"/>
      <c r="N594" s="1" t="s">
        <v>742</v>
      </c>
    </row>
    <row r="595" spans="2:14" ht="20.100000000000001" customHeight="1" x14ac:dyDescent="0.2">
      <c r="B595"/>
      <c r="C595"/>
      <c r="D595"/>
      <c r="N595" s="1" t="s">
        <v>742</v>
      </c>
    </row>
    <row r="596" spans="2:14" ht="20.100000000000001" customHeight="1" x14ac:dyDescent="0.2">
      <c r="B596"/>
      <c r="C596"/>
      <c r="D596"/>
      <c r="N596" s="1" t="s">
        <v>742</v>
      </c>
    </row>
    <row r="597" spans="2:14" ht="20.100000000000001" customHeight="1" x14ac:dyDescent="0.2">
      <c r="B597"/>
      <c r="C597"/>
      <c r="D597"/>
      <c r="N597" s="1" t="s">
        <v>742</v>
      </c>
    </row>
    <row r="598" spans="2:14" ht="20.100000000000001" customHeight="1" x14ac:dyDescent="0.2">
      <c r="B598"/>
      <c r="C598"/>
      <c r="D598"/>
      <c r="N598" s="1" t="s">
        <v>742</v>
      </c>
    </row>
    <row r="599" spans="2:14" ht="20.100000000000001" customHeight="1" x14ac:dyDescent="0.2">
      <c r="B599"/>
      <c r="C599"/>
      <c r="D599"/>
      <c r="N599" s="1" t="s">
        <v>742</v>
      </c>
    </row>
    <row r="600" spans="2:14" ht="20.100000000000001" customHeight="1" x14ac:dyDescent="0.2">
      <c r="B600"/>
      <c r="C600"/>
      <c r="D600"/>
      <c r="N600" s="1" t="s">
        <v>742</v>
      </c>
    </row>
    <row r="601" spans="2:14" ht="20.100000000000001" customHeight="1" x14ac:dyDescent="0.2">
      <c r="B601"/>
      <c r="C601"/>
      <c r="D601"/>
      <c r="N601" s="1" t="s">
        <v>742</v>
      </c>
    </row>
    <row r="602" spans="2:14" ht="20.100000000000001" customHeight="1" x14ac:dyDescent="0.2">
      <c r="B602"/>
      <c r="C602"/>
      <c r="D602"/>
      <c r="N602" s="1" t="s">
        <v>742</v>
      </c>
    </row>
    <row r="603" spans="2:14" ht="20.100000000000001" customHeight="1" x14ac:dyDescent="0.2">
      <c r="B603"/>
      <c r="C603"/>
      <c r="D603"/>
      <c r="N603" s="1" t="s">
        <v>742</v>
      </c>
    </row>
    <row r="604" spans="2:14" ht="20.100000000000001" customHeight="1" x14ac:dyDescent="0.2">
      <c r="B604"/>
      <c r="C604"/>
      <c r="D604"/>
      <c r="N604" s="1" t="s">
        <v>742</v>
      </c>
    </row>
    <row r="605" spans="2:14" ht="20.100000000000001" customHeight="1" x14ac:dyDescent="0.2">
      <c r="B605"/>
      <c r="C605"/>
      <c r="D605"/>
      <c r="N605" s="1" t="s">
        <v>742</v>
      </c>
    </row>
    <row r="606" spans="2:14" ht="20.100000000000001" customHeight="1" x14ac:dyDescent="0.2">
      <c r="B606"/>
      <c r="C606"/>
      <c r="D606"/>
      <c r="N606" s="1" t="s">
        <v>742</v>
      </c>
    </row>
    <row r="607" spans="2:14" ht="20.100000000000001" customHeight="1" x14ac:dyDescent="0.2">
      <c r="B607"/>
      <c r="C607"/>
      <c r="D607"/>
      <c r="N607" s="1" t="s">
        <v>742</v>
      </c>
    </row>
    <row r="608" spans="2:14" ht="20.100000000000001" customHeight="1" x14ac:dyDescent="0.2">
      <c r="B608"/>
      <c r="C608"/>
      <c r="D608"/>
      <c r="N608" s="1" t="s">
        <v>742</v>
      </c>
    </row>
    <row r="609" spans="2:14" ht="20.100000000000001" customHeight="1" x14ac:dyDescent="0.2">
      <c r="B609"/>
      <c r="C609"/>
      <c r="D609"/>
      <c r="N609" s="1" t="s">
        <v>742</v>
      </c>
    </row>
    <row r="610" spans="2:14" ht="20.100000000000001" customHeight="1" x14ac:dyDescent="0.2">
      <c r="B610"/>
      <c r="C610"/>
      <c r="D610"/>
      <c r="N610" s="1" t="s">
        <v>742</v>
      </c>
    </row>
    <row r="611" spans="2:14" ht="20.100000000000001" customHeight="1" x14ac:dyDescent="0.2">
      <c r="B611"/>
      <c r="C611"/>
      <c r="D611"/>
      <c r="N611" s="1" t="s">
        <v>742</v>
      </c>
    </row>
    <row r="612" spans="2:14" ht="20.100000000000001" customHeight="1" x14ac:dyDescent="0.2">
      <c r="B612"/>
      <c r="C612"/>
      <c r="D612"/>
      <c r="N612" s="1" t="s">
        <v>742</v>
      </c>
    </row>
    <row r="613" spans="2:14" ht="20.100000000000001" customHeight="1" x14ac:dyDescent="0.2">
      <c r="B613"/>
      <c r="C613"/>
      <c r="D613"/>
      <c r="N613" s="1" t="s">
        <v>742</v>
      </c>
    </row>
    <row r="614" spans="2:14" ht="20.100000000000001" customHeight="1" x14ac:dyDescent="0.2">
      <c r="B614"/>
      <c r="C614"/>
      <c r="D614"/>
      <c r="N614" s="1" t="s">
        <v>742</v>
      </c>
    </row>
    <row r="615" spans="2:14" ht="20.100000000000001" customHeight="1" x14ac:dyDescent="0.2">
      <c r="B615"/>
      <c r="C615"/>
      <c r="D615"/>
      <c r="N615" s="1" t="s">
        <v>742</v>
      </c>
    </row>
    <row r="616" spans="2:14" ht="20.100000000000001" customHeight="1" x14ac:dyDescent="0.2">
      <c r="B616"/>
      <c r="C616"/>
      <c r="D616"/>
      <c r="N616" s="1" t="s">
        <v>742</v>
      </c>
    </row>
    <row r="617" spans="2:14" ht="20.100000000000001" customHeight="1" x14ac:dyDescent="0.2">
      <c r="B617"/>
      <c r="C617"/>
      <c r="D617"/>
      <c r="N617" s="1" t="s">
        <v>742</v>
      </c>
    </row>
    <row r="618" spans="2:14" ht="20.100000000000001" customHeight="1" x14ac:dyDescent="0.2">
      <c r="B618"/>
      <c r="C618"/>
      <c r="D618"/>
      <c r="N618" s="1" t="s">
        <v>742</v>
      </c>
    </row>
    <row r="619" spans="2:14" ht="20.100000000000001" customHeight="1" x14ac:dyDescent="0.2">
      <c r="B619"/>
      <c r="C619"/>
      <c r="D619"/>
      <c r="N619" s="1" t="s">
        <v>742</v>
      </c>
    </row>
    <row r="620" spans="2:14" ht="20.100000000000001" customHeight="1" x14ac:dyDescent="0.2">
      <c r="B620"/>
      <c r="C620"/>
      <c r="D620"/>
      <c r="N620" s="1" t="s">
        <v>742</v>
      </c>
    </row>
    <row r="621" spans="2:14" ht="20.100000000000001" customHeight="1" x14ac:dyDescent="0.2">
      <c r="B621"/>
      <c r="C621"/>
      <c r="D621"/>
      <c r="N621" s="1" t="s">
        <v>742</v>
      </c>
    </row>
    <row r="622" spans="2:14" ht="20.100000000000001" customHeight="1" x14ac:dyDescent="0.2">
      <c r="B622"/>
      <c r="C622"/>
      <c r="D622"/>
      <c r="N622" s="1" t="s">
        <v>742</v>
      </c>
    </row>
    <row r="623" spans="2:14" ht="20.100000000000001" customHeight="1" x14ac:dyDescent="0.2">
      <c r="B623"/>
      <c r="C623"/>
      <c r="D623"/>
      <c r="N623" s="1" t="s">
        <v>742</v>
      </c>
    </row>
    <row r="624" spans="2:14" ht="20.100000000000001" customHeight="1" x14ac:dyDescent="0.2">
      <c r="B624"/>
      <c r="C624"/>
      <c r="D624"/>
      <c r="N624" s="1" t="s">
        <v>742</v>
      </c>
    </row>
    <row r="625" spans="2:14" ht="20.100000000000001" customHeight="1" x14ac:dyDescent="0.2">
      <c r="B625"/>
      <c r="C625"/>
      <c r="D625"/>
      <c r="N625" s="1" t="s">
        <v>742</v>
      </c>
    </row>
    <row r="626" spans="2:14" ht="20.100000000000001" customHeight="1" x14ac:dyDescent="0.2">
      <c r="B626"/>
      <c r="C626"/>
      <c r="D626"/>
      <c r="N626" s="1" t="s">
        <v>742</v>
      </c>
    </row>
    <row r="627" spans="2:14" ht="20.100000000000001" customHeight="1" x14ac:dyDescent="0.2">
      <c r="B627"/>
      <c r="C627"/>
      <c r="D627"/>
      <c r="N627" s="1" t="s">
        <v>742</v>
      </c>
    </row>
    <row r="628" spans="2:14" ht="20.100000000000001" customHeight="1" x14ac:dyDescent="0.2">
      <c r="B628"/>
      <c r="C628"/>
      <c r="D628"/>
      <c r="N628" s="1" t="s">
        <v>742</v>
      </c>
    </row>
    <row r="629" spans="2:14" ht="20.100000000000001" customHeight="1" x14ac:dyDescent="0.2">
      <c r="B629"/>
      <c r="C629"/>
      <c r="D629"/>
      <c r="N629" s="1" t="s">
        <v>742</v>
      </c>
    </row>
    <row r="630" spans="2:14" ht="20.100000000000001" customHeight="1" x14ac:dyDescent="0.2">
      <c r="B630"/>
      <c r="C630"/>
      <c r="D630"/>
      <c r="N630" s="1" t="s">
        <v>742</v>
      </c>
    </row>
    <row r="631" spans="2:14" ht="20.100000000000001" customHeight="1" x14ac:dyDescent="0.2">
      <c r="B631"/>
      <c r="C631"/>
      <c r="D631"/>
      <c r="N631" s="1" t="s">
        <v>742</v>
      </c>
    </row>
    <row r="632" spans="2:14" ht="20.100000000000001" customHeight="1" x14ac:dyDescent="0.2">
      <c r="B632"/>
      <c r="C632"/>
      <c r="D632"/>
      <c r="N632" s="1" t="s">
        <v>742</v>
      </c>
    </row>
    <row r="633" spans="2:14" ht="20.100000000000001" customHeight="1" x14ac:dyDescent="0.2">
      <c r="B633"/>
      <c r="C633"/>
      <c r="D633"/>
      <c r="N633" s="1" t="s">
        <v>742</v>
      </c>
    </row>
    <row r="634" spans="2:14" ht="20.100000000000001" customHeight="1" x14ac:dyDescent="0.2">
      <c r="B634"/>
      <c r="C634"/>
      <c r="D634"/>
      <c r="N634" s="1" t="s">
        <v>742</v>
      </c>
    </row>
    <row r="635" spans="2:14" ht="20.100000000000001" customHeight="1" x14ac:dyDescent="0.2">
      <c r="B635"/>
      <c r="C635"/>
      <c r="D635"/>
      <c r="N635" s="1" t="s">
        <v>742</v>
      </c>
    </row>
    <row r="636" spans="2:14" ht="20.100000000000001" customHeight="1" x14ac:dyDescent="0.2">
      <c r="B636"/>
      <c r="C636"/>
      <c r="D636"/>
      <c r="N636" s="1" t="s">
        <v>742</v>
      </c>
    </row>
    <row r="637" spans="2:14" ht="20.100000000000001" customHeight="1" x14ac:dyDescent="0.2">
      <c r="B637"/>
      <c r="C637"/>
      <c r="D637"/>
      <c r="N637" s="1" t="s">
        <v>742</v>
      </c>
    </row>
    <row r="638" spans="2:14" ht="20.100000000000001" customHeight="1" x14ac:dyDescent="0.2">
      <c r="B638"/>
      <c r="C638"/>
      <c r="D638"/>
      <c r="N638" s="1" t="s">
        <v>742</v>
      </c>
    </row>
    <row r="639" spans="2:14" ht="20.100000000000001" customHeight="1" x14ac:dyDescent="0.2">
      <c r="B639"/>
      <c r="C639"/>
      <c r="D639"/>
      <c r="N639" s="1" t="s">
        <v>742</v>
      </c>
    </row>
    <row r="640" spans="2:14" ht="20.100000000000001" customHeight="1" x14ac:dyDescent="0.2">
      <c r="B640"/>
      <c r="C640"/>
      <c r="D640"/>
      <c r="N640" s="1" t="s">
        <v>742</v>
      </c>
    </row>
    <row r="641" spans="2:14" ht="20.100000000000001" customHeight="1" x14ac:dyDescent="0.2">
      <c r="B641"/>
      <c r="C641"/>
      <c r="D641"/>
      <c r="N641" s="1" t="s">
        <v>742</v>
      </c>
    </row>
    <row r="642" spans="2:14" ht="20.100000000000001" customHeight="1" x14ac:dyDescent="0.2">
      <c r="B642"/>
      <c r="C642"/>
      <c r="D642"/>
      <c r="N642" s="1" t="s">
        <v>742</v>
      </c>
    </row>
    <row r="643" spans="2:14" ht="20.100000000000001" customHeight="1" x14ac:dyDescent="0.2">
      <c r="B643"/>
      <c r="C643"/>
      <c r="D643"/>
      <c r="N643" s="1" t="s">
        <v>742</v>
      </c>
    </row>
    <row r="644" spans="2:14" ht="20.100000000000001" customHeight="1" x14ac:dyDescent="0.2">
      <c r="B644"/>
      <c r="C644"/>
      <c r="D644"/>
      <c r="N644" s="1" t="s">
        <v>742</v>
      </c>
    </row>
    <row r="645" spans="2:14" ht="20.100000000000001" customHeight="1" x14ac:dyDescent="0.2">
      <c r="B645"/>
      <c r="C645"/>
      <c r="D645"/>
      <c r="N645" s="1" t="s">
        <v>742</v>
      </c>
    </row>
    <row r="646" spans="2:14" ht="20.100000000000001" customHeight="1" x14ac:dyDescent="0.2">
      <c r="B646"/>
      <c r="C646"/>
      <c r="D646"/>
      <c r="N646" s="1" t="s">
        <v>742</v>
      </c>
    </row>
    <row r="647" spans="2:14" ht="20.100000000000001" customHeight="1" x14ac:dyDescent="0.2">
      <c r="B647"/>
      <c r="C647"/>
      <c r="D647"/>
      <c r="N647" s="1" t="s">
        <v>742</v>
      </c>
    </row>
    <row r="648" spans="2:14" ht="20.100000000000001" customHeight="1" x14ac:dyDescent="0.2">
      <c r="B648"/>
      <c r="C648"/>
      <c r="D648"/>
      <c r="N648" s="1" t="s">
        <v>742</v>
      </c>
    </row>
    <row r="649" spans="2:14" ht="20.100000000000001" customHeight="1" x14ac:dyDescent="0.2">
      <c r="B649"/>
      <c r="C649"/>
      <c r="D649"/>
      <c r="N649" s="1" t="s">
        <v>742</v>
      </c>
    </row>
    <row r="650" spans="2:14" ht="20.100000000000001" customHeight="1" x14ac:dyDescent="0.2">
      <c r="B650"/>
      <c r="C650"/>
      <c r="D650"/>
      <c r="N650" s="1" t="s">
        <v>742</v>
      </c>
    </row>
    <row r="651" spans="2:14" ht="20.100000000000001" customHeight="1" x14ac:dyDescent="0.2">
      <c r="B651"/>
      <c r="C651"/>
      <c r="D651"/>
      <c r="N651" s="1" t="s">
        <v>742</v>
      </c>
    </row>
    <row r="652" spans="2:14" ht="20.100000000000001" customHeight="1" x14ac:dyDescent="0.2">
      <c r="B652"/>
      <c r="C652"/>
      <c r="D652"/>
      <c r="N652" s="1" t="s">
        <v>742</v>
      </c>
    </row>
    <row r="653" spans="2:14" ht="20.100000000000001" customHeight="1" x14ac:dyDescent="0.2">
      <c r="B653"/>
      <c r="C653"/>
      <c r="D653"/>
      <c r="N653" s="1" t="s">
        <v>742</v>
      </c>
    </row>
    <row r="654" spans="2:14" ht="20.100000000000001" customHeight="1" x14ac:dyDescent="0.2">
      <c r="B654"/>
      <c r="C654"/>
      <c r="D654"/>
      <c r="N654" s="1" t="s">
        <v>742</v>
      </c>
    </row>
    <row r="655" spans="2:14" ht="20.100000000000001" customHeight="1" x14ac:dyDescent="0.2">
      <c r="B655"/>
      <c r="C655"/>
      <c r="D655"/>
      <c r="N655" s="1" t="s">
        <v>742</v>
      </c>
    </row>
    <row r="656" spans="2:14" ht="20.100000000000001" customHeight="1" x14ac:dyDescent="0.2">
      <c r="B656"/>
      <c r="C656"/>
      <c r="D656"/>
      <c r="N656" s="1" t="s">
        <v>742</v>
      </c>
    </row>
    <row r="657" spans="2:14" ht="20.100000000000001" customHeight="1" x14ac:dyDescent="0.2">
      <c r="B657"/>
      <c r="C657"/>
      <c r="D657"/>
      <c r="N657" s="1" t="s">
        <v>742</v>
      </c>
    </row>
    <row r="658" spans="2:14" ht="20.100000000000001" customHeight="1" x14ac:dyDescent="0.2">
      <c r="B658"/>
      <c r="C658"/>
      <c r="D658"/>
      <c r="N658" s="1" t="s">
        <v>742</v>
      </c>
    </row>
    <row r="659" spans="2:14" ht="20.100000000000001" customHeight="1" x14ac:dyDescent="0.2">
      <c r="B659"/>
      <c r="C659"/>
      <c r="D659"/>
      <c r="N659" s="1" t="s">
        <v>742</v>
      </c>
    </row>
    <row r="660" spans="2:14" ht="20.100000000000001" customHeight="1" x14ac:dyDescent="0.2">
      <c r="B660"/>
      <c r="C660"/>
      <c r="D660"/>
      <c r="N660" s="1" t="s">
        <v>742</v>
      </c>
    </row>
    <row r="661" spans="2:14" ht="20.100000000000001" customHeight="1" x14ac:dyDescent="0.2">
      <c r="B661"/>
      <c r="C661"/>
      <c r="D661"/>
      <c r="N661" s="1" t="s">
        <v>742</v>
      </c>
    </row>
    <row r="662" spans="2:14" ht="20.100000000000001" customHeight="1" x14ac:dyDescent="0.2">
      <c r="B662"/>
      <c r="C662"/>
      <c r="D662"/>
      <c r="N662" s="1" t="s">
        <v>742</v>
      </c>
    </row>
    <row r="663" spans="2:14" ht="20.100000000000001" customHeight="1" x14ac:dyDescent="0.2">
      <c r="B663"/>
      <c r="C663"/>
      <c r="D663"/>
      <c r="N663" s="1" t="s">
        <v>742</v>
      </c>
    </row>
    <row r="664" spans="2:14" ht="20.100000000000001" customHeight="1" x14ac:dyDescent="0.2">
      <c r="B664"/>
      <c r="C664"/>
      <c r="D664"/>
      <c r="N664" s="1" t="s">
        <v>742</v>
      </c>
    </row>
    <row r="665" spans="2:14" ht="20.100000000000001" customHeight="1" x14ac:dyDescent="0.2">
      <c r="B665"/>
      <c r="C665"/>
      <c r="D665"/>
      <c r="N665" s="1" t="s">
        <v>742</v>
      </c>
    </row>
    <row r="666" spans="2:14" ht="20.100000000000001" customHeight="1" x14ac:dyDescent="0.2">
      <c r="B666"/>
      <c r="C666"/>
      <c r="D666"/>
      <c r="N666" s="1" t="s">
        <v>742</v>
      </c>
    </row>
    <row r="667" spans="2:14" ht="20.100000000000001" customHeight="1" x14ac:dyDescent="0.2">
      <c r="B667"/>
      <c r="C667"/>
      <c r="D667"/>
      <c r="N667" s="1" t="s">
        <v>742</v>
      </c>
    </row>
    <row r="668" spans="2:14" ht="20.100000000000001" customHeight="1" x14ac:dyDescent="0.2">
      <c r="B668"/>
      <c r="C668"/>
      <c r="D668"/>
      <c r="N668" s="1" t="s">
        <v>742</v>
      </c>
    </row>
    <row r="669" spans="2:14" ht="20.100000000000001" customHeight="1" x14ac:dyDescent="0.2">
      <c r="B669"/>
      <c r="C669"/>
      <c r="D669"/>
      <c r="N669" s="1" t="s">
        <v>742</v>
      </c>
    </row>
    <row r="670" spans="2:14" ht="20.100000000000001" customHeight="1" x14ac:dyDescent="0.2">
      <c r="B670"/>
      <c r="C670"/>
      <c r="D670"/>
      <c r="N670" s="1" t="s">
        <v>742</v>
      </c>
    </row>
    <row r="671" spans="2:14" ht="20.100000000000001" customHeight="1" x14ac:dyDescent="0.2">
      <c r="B671"/>
      <c r="C671"/>
      <c r="D671"/>
      <c r="N671" s="1" t="s">
        <v>742</v>
      </c>
    </row>
    <row r="672" spans="2:14" ht="20.100000000000001" customHeight="1" x14ac:dyDescent="0.2">
      <c r="B672"/>
      <c r="C672"/>
      <c r="D672"/>
      <c r="N672" s="1" t="s">
        <v>742</v>
      </c>
    </row>
    <row r="673" spans="2:14" ht="20.100000000000001" customHeight="1" x14ac:dyDescent="0.2">
      <c r="B673"/>
      <c r="C673"/>
      <c r="D673"/>
      <c r="N673" s="1" t="s">
        <v>742</v>
      </c>
    </row>
    <row r="674" spans="2:14" ht="20.100000000000001" customHeight="1" x14ac:dyDescent="0.2">
      <c r="B674"/>
      <c r="C674"/>
      <c r="D674"/>
      <c r="N674" s="1" t="s">
        <v>742</v>
      </c>
    </row>
    <row r="675" spans="2:14" ht="20.100000000000001" customHeight="1" x14ac:dyDescent="0.2">
      <c r="B675"/>
      <c r="C675"/>
      <c r="D675"/>
      <c r="N675" s="1" t="s">
        <v>742</v>
      </c>
    </row>
    <row r="676" spans="2:14" ht="20.100000000000001" customHeight="1" x14ac:dyDescent="0.2">
      <c r="B676"/>
      <c r="C676"/>
      <c r="D676"/>
      <c r="N676" s="1" t="s">
        <v>742</v>
      </c>
    </row>
    <row r="677" spans="2:14" ht="20.100000000000001" customHeight="1" x14ac:dyDescent="0.2">
      <c r="B677"/>
      <c r="C677"/>
      <c r="D677"/>
      <c r="N677" s="1" t="s">
        <v>742</v>
      </c>
    </row>
    <row r="678" spans="2:14" ht="20.100000000000001" customHeight="1" x14ac:dyDescent="0.2">
      <c r="B678"/>
      <c r="C678"/>
      <c r="D678"/>
      <c r="N678" s="1" t="s">
        <v>742</v>
      </c>
    </row>
    <row r="679" spans="2:14" ht="20.100000000000001" customHeight="1" x14ac:dyDescent="0.2">
      <c r="B679"/>
      <c r="C679"/>
      <c r="D679"/>
      <c r="N679" s="1" t="s">
        <v>742</v>
      </c>
    </row>
    <row r="680" spans="2:14" ht="20.100000000000001" customHeight="1" x14ac:dyDescent="0.2">
      <c r="B680"/>
      <c r="C680"/>
      <c r="D680"/>
      <c r="N680" s="1" t="s">
        <v>742</v>
      </c>
    </row>
    <row r="681" spans="2:14" ht="20.100000000000001" customHeight="1" x14ac:dyDescent="0.2">
      <c r="B681"/>
      <c r="C681"/>
      <c r="D681"/>
      <c r="N681" s="1" t="s">
        <v>742</v>
      </c>
    </row>
    <row r="682" spans="2:14" ht="20.100000000000001" customHeight="1" x14ac:dyDescent="0.2">
      <c r="B682"/>
      <c r="C682"/>
      <c r="D682"/>
      <c r="N682" s="1" t="s">
        <v>382</v>
      </c>
    </row>
    <row r="683" spans="2:14" ht="20.100000000000001" customHeight="1" x14ac:dyDescent="0.2">
      <c r="B683"/>
      <c r="C683"/>
      <c r="D683"/>
      <c r="N683" s="1" t="s">
        <v>742</v>
      </c>
    </row>
    <row r="684" spans="2:14" ht="20.100000000000001" customHeight="1" x14ac:dyDescent="0.2">
      <c r="B684"/>
      <c r="C684"/>
      <c r="D684"/>
      <c r="N684" s="1" t="s">
        <v>742</v>
      </c>
    </row>
    <row r="685" spans="2:14" ht="20.100000000000001" customHeight="1" x14ac:dyDescent="0.2">
      <c r="B685"/>
      <c r="C685"/>
      <c r="D685"/>
      <c r="N685" s="1" t="s">
        <v>742</v>
      </c>
    </row>
    <row r="686" spans="2:14" ht="20.100000000000001" customHeight="1" x14ac:dyDescent="0.2">
      <c r="B686"/>
      <c r="C686"/>
      <c r="D686"/>
      <c r="N686" s="1" t="s">
        <v>686</v>
      </c>
    </row>
    <row r="687" spans="2:14" ht="20.100000000000001" customHeight="1" x14ac:dyDescent="0.2">
      <c r="B687"/>
      <c r="C687"/>
      <c r="D687"/>
      <c r="N687" s="1" t="s">
        <v>686</v>
      </c>
    </row>
    <row r="688" spans="2:14" ht="20.100000000000001" customHeight="1" x14ac:dyDescent="0.2">
      <c r="B688"/>
      <c r="C688"/>
      <c r="D688"/>
      <c r="N688" s="1" t="s">
        <v>686</v>
      </c>
    </row>
    <row r="689" spans="2:14" ht="20.100000000000001" customHeight="1" x14ac:dyDescent="0.2">
      <c r="B689"/>
      <c r="C689"/>
      <c r="D689"/>
      <c r="N689" s="1" t="s">
        <v>686</v>
      </c>
    </row>
    <row r="690" spans="2:14" ht="20.100000000000001" customHeight="1" x14ac:dyDescent="0.2">
      <c r="B690"/>
      <c r="C690"/>
      <c r="D690"/>
      <c r="N690" s="1" t="s">
        <v>742</v>
      </c>
    </row>
    <row r="691" spans="2:14" ht="20.100000000000001" customHeight="1" x14ac:dyDescent="0.2">
      <c r="B691"/>
      <c r="C691"/>
      <c r="D691"/>
      <c r="N691" s="1" t="s">
        <v>382</v>
      </c>
    </row>
    <row r="692" spans="2:14" ht="20.100000000000001" customHeight="1" x14ac:dyDescent="0.2">
      <c r="B692"/>
      <c r="C692"/>
      <c r="D692"/>
      <c r="N692" s="1" t="s">
        <v>382</v>
      </c>
    </row>
    <row r="693" spans="2:14" ht="20.100000000000001" customHeight="1" x14ac:dyDescent="0.2">
      <c r="B693"/>
      <c r="C693"/>
      <c r="D693"/>
      <c r="N693" s="1" t="s">
        <v>742</v>
      </c>
    </row>
    <row r="694" spans="2:14" ht="20.100000000000001" customHeight="1" x14ac:dyDescent="0.2">
      <c r="B694"/>
      <c r="C694"/>
      <c r="D694"/>
      <c r="N694" s="1" t="s">
        <v>383</v>
      </c>
    </row>
    <row r="695" spans="2:14" ht="20.100000000000001" customHeight="1" x14ac:dyDescent="0.2">
      <c r="B695"/>
      <c r="C695"/>
      <c r="D695"/>
      <c r="N695" s="1" t="s">
        <v>742</v>
      </c>
    </row>
    <row r="696" spans="2:14" ht="20.100000000000001" customHeight="1" x14ac:dyDescent="0.2">
      <c r="B696"/>
      <c r="C696"/>
      <c r="D696"/>
      <c r="N696" s="1" t="s">
        <v>742</v>
      </c>
    </row>
    <row r="697" spans="2:14" ht="20.100000000000001" customHeight="1" x14ac:dyDescent="0.2">
      <c r="B697"/>
      <c r="C697"/>
      <c r="D697"/>
      <c r="N697" s="1" t="s">
        <v>742</v>
      </c>
    </row>
    <row r="698" spans="2:14" ht="20.100000000000001" customHeight="1" x14ac:dyDescent="0.2">
      <c r="B698"/>
      <c r="C698"/>
      <c r="D698"/>
      <c r="N698" s="1" t="s">
        <v>686</v>
      </c>
    </row>
    <row r="699" spans="2:14" ht="20.100000000000001" customHeight="1" x14ac:dyDescent="0.2">
      <c r="B699"/>
      <c r="C699"/>
      <c r="D699"/>
      <c r="N699" s="1" t="s">
        <v>388</v>
      </c>
    </row>
    <row r="700" spans="2:14" ht="20.100000000000001" customHeight="1" x14ac:dyDescent="0.2">
      <c r="B700"/>
      <c r="C700"/>
      <c r="D700"/>
      <c r="N700" s="1" t="s">
        <v>388</v>
      </c>
    </row>
    <row r="701" spans="2:14" ht="20.100000000000001" customHeight="1" x14ac:dyDescent="0.2">
      <c r="B701"/>
      <c r="C701"/>
      <c r="D701"/>
      <c r="N701" s="1" t="s">
        <v>686</v>
      </c>
    </row>
    <row r="702" spans="2:14" ht="20.100000000000001" customHeight="1" x14ac:dyDescent="0.2">
      <c r="B702"/>
      <c r="C702"/>
      <c r="D702"/>
      <c r="N702" s="1" t="s">
        <v>686</v>
      </c>
    </row>
    <row r="703" spans="2:14" ht="20.100000000000001" customHeight="1" x14ac:dyDescent="0.2">
      <c r="B703"/>
      <c r="C703"/>
      <c r="D703"/>
      <c r="N703" s="1" t="s">
        <v>742</v>
      </c>
    </row>
    <row r="704" spans="2:14" ht="20.100000000000001" customHeight="1" x14ac:dyDescent="0.2">
      <c r="B704"/>
      <c r="C704"/>
      <c r="D704"/>
      <c r="N704" s="1" t="s">
        <v>896</v>
      </c>
    </row>
    <row r="705" spans="2:14" ht="20.100000000000001" customHeight="1" x14ac:dyDescent="0.2">
      <c r="B705"/>
      <c r="C705"/>
      <c r="D705"/>
      <c r="N705" s="1" t="s">
        <v>906</v>
      </c>
    </row>
    <row r="706" spans="2:14" ht="20.100000000000001" customHeight="1" x14ac:dyDescent="0.2">
      <c r="B706"/>
      <c r="C706"/>
      <c r="D706"/>
      <c r="N706" s="1" t="s">
        <v>906</v>
      </c>
    </row>
    <row r="707" spans="2:14" ht="20.100000000000001" customHeight="1" x14ac:dyDescent="0.2">
      <c r="B707"/>
      <c r="C707"/>
      <c r="D707"/>
      <c r="N707" s="1" t="s">
        <v>906</v>
      </c>
    </row>
    <row r="708" spans="2:14" ht="20.100000000000001" customHeight="1" x14ac:dyDescent="0.2">
      <c r="B708"/>
      <c r="C708"/>
      <c r="D708"/>
      <c r="N708" s="1" t="s">
        <v>742</v>
      </c>
    </row>
    <row r="709" spans="2:14" ht="20.100000000000001" customHeight="1" x14ac:dyDescent="0.2">
      <c r="B709"/>
      <c r="C709"/>
      <c r="D709"/>
      <c r="N709" s="1" t="s">
        <v>686</v>
      </c>
    </row>
    <row r="710" spans="2:14" ht="20.100000000000001" customHeight="1" x14ac:dyDescent="0.2">
      <c r="B710"/>
      <c r="C710"/>
      <c r="D710"/>
      <c r="N710" s="1" t="s">
        <v>391</v>
      </c>
    </row>
    <row r="711" spans="2:14" ht="20.100000000000001" customHeight="1" x14ac:dyDescent="0.2">
      <c r="B711"/>
      <c r="C711"/>
      <c r="D711"/>
      <c r="N711" s="1" t="s">
        <v>742</v>
      </c>
    </row>
    <row r="712" spans="2:14" ht="20.100000000000001" customHeight="1" x14ac:dyDescent="0.2">
      <c r="B712"/>
      <c r="C712"/>
      <c r="D712"/>
      <c r="N712" s="1" t="s">
        <v>742</v>
      </c>
    </row>
    <row r="713" spans="2:14" ht="20.100000000000001" customHeight="1" x14ac:dyDescent="0.2">
      <c r="B713"/>
      <c r="C713"/>
      <c r="D713"/>
      <c r="N713" s="1" t="s">
        <v>385</v>
      </c>
    </row>
    <row r="714" spans="2:14" ht="20.100000000000001" customHeight="1" x14ac:dyDescent="0.2">
      <c r="B714"/>
      <c r="C714"/>
      <c r="D714"/>
      <c r="N714" s="1" t="s">
        <v>742</v>
      </c>
    </row>
    <row r="715" spans="2:14" ht="20.100000000000001" customHeight="1" x14ac:dyDescent="0.2">
      <c r="B715"/>
      <c r="C715"/>
      <c r="D715"/>
      <c r="N715" s="1" t="s">
        <v>742</v>
      </c>
    </row>
    <row r="716" spans="2:14" ht="20.100000000000001" customHeight="1" x14ac:dyDescent="0.2">
      <c r="B716"/>
      <c r="C716"/>
      <c r="D716"/>
      <c r="N716" s="1" t="s">
        <v>742</v>
      </c>
    </row>
    <row r="717" spans="2:14" ht="20.100000000000001" customHeight="1" x14ac:dyDescent="0.2">
      <c r="B717"/>
      <c r="C717"/>
      <c r="D717"/>
      <c r="N717" s="1" t="s">
        <v>742</v>
      </c>
    </row>
    <row r="718" spans="2:14" ht="20.100000000000001" customHeight="1" x14ac:dyDescent="0.2">
      <c r="B718"/>
      <c r="C718"/>
      <c r="D718"/>
      <c r="N718" s="1" t="s">
        <v>742</v>
      </c>
    </row>
    <row r="719" spans="2:14" ht="20.100000000000001" customHeight="1" x14ac:dyDescent="0.2">
      <c r="B719"/>
      <c r="C719"/>
      <c r="D719"/>
      <c r="N719" s="1" t="s">
        <v>742</v>
      </c>
    </row>
    <row r="720" spans="2:14" ht="20.100000000000001" customHeight="1" x14ac:dyDescent="0.2">
      <c r="B720"/>
      <c r="C720"/>
      <c r="D720"/>
      <c r="N720" s="1" t="s">
        <v>742</v>
      </c>
    </row>
    <row r="721" spans="2:14" ht="20.100000000000001" customHeight="1" x14ac:dyDescent="0.2">
      <c r="B721"/>
      <c r="C721"/>
      <c r="D721"/>
      <c r="N721" s="1" t="s">
        <v>742</v>
      </c>
    </row>
    <row r="722" spans="2:14" ht="20.100000000000001" customHeight="1" x14ac:dyDescent="0.2">
      <c r="B722"/>
      <c r="C722"/>
      <c r="D722"/>
      <c r="N722" s="1" t="s">
        <v>742</v>
      </c>
    </row>
    <row r="723" spans="2:14" ht="20.100000000000001" customHeight="1" x14ac:dyDescent="0.2">
      <c r="B723"/>
      <c r="C723"/>
      <c r="D723"/>
      <c r="N723" s="1" t="s">
        <v>384</v>
      </c>
    </row>
    <row r="724" spans="2:14" ht="20.100000000000001" customHeight="1" x14ac:dyDescent="0.2">
      <c r="B724"/>
      <c r="C724"/>
      <c r="D724"/>
      <c r="N724" s="1" t="s">
        <v>742</v>
      </c>
    </row>
    <row r="725" spans="2:14" ht="20.100000000000001" customHeight="1" x14ac:dyDescent="0.2">
      <c r="B725"/>
      <c r="C725"/>
      <c r="D725"/>
      <c r="N725" s="1" t="s">
        <v>742</v>
      </c>
    </row>
    <row r="726" spans="2:14" ht="20.100000000000001" customHeight="1" x14ac:dyDescent="0.2">
      <c r="B726"/>
      <c r="C726"/>
      <c r="D726"/>
      <c r="N726" s="1" t="s">
        <v>742</v>
      </c>
    </row>
    <row r="727" spans="2:14" ht="20.100000000000001" customHeight="1" x14ac:dyDescent="0.2">
      <c r="B727"/>
      <c r="C727"/>
      <c r="D727"/>
      <c r="N727" s="1" t="s">
        <v>742</v>
      </c>
    </row>
    <row r="728" spans="2:14" ht="20.100000000000001" customHeight="1" x14ac:dyDescent="0.2">
      <c r="B728"/>
      <c r="C728"/>
      <c r="D728"/>
      <c r="N728" s="1" t="s">
        <v>742</v>
      </c>
    </row>
    <row r="729" spans="2:14" ht="20.100000000000001" customHeight="1" x14ac:dyDescent="0.2">
      <c r="B729"/>
      <c r="C729"/>
      <c r="D729"/>
      <c r="N729" s="1" t="s">
        <v>742</v>
      </c>
    </row>
    <row r="730" spans="2:14" ht="20.100000000000001" customHeight="1" x14ac:dyDescent="0.2">
      <c r="B730"/>
      <c r="C730"/>
      <c r="D730"/>
      <c r="N730" s="1" t="s">
        <v>742</v>
      </c>
    </row>
    <row r="731" spans="2:14" ht="20.100000000000001" customHeight="1" x14ac:dyDescent="0.2">
      <c r="B731"/>
      <c r="C731"/>
      <c r="D731"/>
      <c r="N731" s="1" t="s">
        <v>742</v>
      </c>
    </row>
    <row r="732" spans="2:14" ht="20.100000000000001" customHeight="1" x14ac:dyDescent="0.2">
      <c r="B732"/>
      <c r="C732"/>
      <c r="D732"/>
      <c r="N732" s="1" t="s">
        <v>742</v>
      </c>
    </row>
    <row r="733" spans="2:14" ht="20.100000000000001" customHeight="1" x14ac:dyDescent="0.2">
      <c r="B733"/>
      <c r="C733"/>
      <c r="D733"/>
      <c r="N733" s="1" t="s">
        <v>742</v>
      </c>
    </row>
    <row r="734" spans="2:14" ht="20.100000000000001" customHeight="1" x14ac:dyDescent="0.2">
      <c r="B734"/>
      <c r="C734"/>
      <c r="D734"/>
      <c r="N734" s="1" t="s">
        <v>742</v>
      </c>
    </row>
    <row r="735" spans="2:14" ht="20.100000000000001" customHeight="1" x14ac:dyDescent="0.2">
      <c r="B735"/>
      <c r="C735"/>
      <c r="D735"/>
      <c r="N735" s="1" t="s">
        <v>742</v>
      </c>
    </row>
    <row r="736" spans="2:14" ht="20.100000000000001" customHeight="1" x14ac:dyDescent="0.2">
      <c r="B736"/>
      <c r="C736"/>
      <c r="D736"/>
      <c r="N736" s="1" t="s">
        <v>742</v>
      </c>
    </row>
    <row r="737" spans="2:14" ht="20.100000000000001" customHeight="1" x14ac:dyDescent="0.2">
      <c r="B737"/>
      <c r="C737"/>
      <c r="D737"/>
      <c r="N737" s="1" t="s">
        <v>742</v>
      </c>
    </row>
    <row r="738" spans="2:14" ht="20.100000000000001" customHeight="1" x14ac:dyDescent="0.2">
      <c r="B738"/>
      <c r="C738"/>
      <c r="D738"/>
      <c r="N738" s="1" t="s">
        <v>742</v>
      </c>
    </row>
    <row r="739" spans="2:14" ht="20.100000000000001" customHeight="1" x14ac:dyDescent="0.2">
      <c r="B739"/>
      <c r="C739"/>
      <c r="D739"/>
      <c r="N739" s="1" t="s">
        <v>742</v>
      </c>
    </row>
    <row r="740" spans="2:14" ht="20.100000000000001" customHeight="1" x14ac:dyDescent="0.2">
      <c r="B740"/>
      <c r="C740"/>
      <c r="D740"/>
      <c r="N740" s="1" t="s">
        <v>742</v>
      </c>
    </row>
    <row r="741" spans="2:14" ht="20.100000000000001" customHeight="1" x14ac:dyDescent="0.2">
      <c r="B741"/>
      <c r="C741"/>
      <c r="D741"/>
      <c r="N741" s="1" t="s">
        <v>742</v>
      </c>
    </row>
    <row r="742" spans="2:14" ht="20.100000000000001" customHeight="1" x14ac:dyDescent="0.2">
      <c r="B742"/>
      <c r="C742"/>
      <c r="D742"/>
      <c r="N742" s="1" t="s">
        <v>742</v>
      </c>
    </row>
    <row r="743" spans="2:14" ht="20.100000000000001" customHeight="1" x14ac:dyDescent="0.2">
      <c r="B743"/>
      <c r="C743"/>
      <c r="D743"/>
      <c r="N743" s="1" t="s">
        <v>742</v>
      </c>
    </row>
    <row r="744" spans="2:14" ht="20.100000000000001" customHeight="1" x14ac:dyDescent="0.2">
      <c r="B744"/>
      <c r="C744"/>
      <c r="D744"/>
      <c r="N744" s="1" t="s">
        <v>742</v>
      </c>
    </row>
    <row r="745" spans="2:14" ht="20.100000000000001" customHeight="1" x14ac:dyDescent="0.2">
      <c r="B745"/>
      <c r="C745"/>
      <c r="D745"/>
      <c r="N745" s="1" t="s">
        <v>742</v>
      </c>
    </row>
    <row r="746" spans="2:14" ht="20.100000000000001" customHeight="1" x14ac:dyDescent="0.2">
      <c r="B746"/>
      <c r="C746"/>
      <c r="D746"/>
    </row>
    <row r="747" spans="2:14" ht="20.100000000000001" customHeight="1" x14ac:dyDescent="0.2">
      <c r="B747"/>
      <c r="C747"/>
      <c r="D747"/>
    </row>
    <row r="748" spans="2:14" ht="20.100000000000001" customHeight="1" x14ac:dyDescent="0.2">
      <c r="B748"/>
      <c r="C748"/>
      <c r="D748"/>
    </row>
    <row r="749" spans="2:14" ht="20.100000000000001" customHeight="1" x14ac:dyDescent="0.2">
      <c r="B749"/>
      <c r="C749"/>
      <c r="D749"/>
    </row>
    <row r="750" spans="2:14" ht="20.100000000000001" customHeight="1" x14ac:dyDescent="0.2">
      <c r="B750"/>
      <c r="C750"/>
      <c r="D750"/>
    </row>
    <row r="751" spans="2:14" ht="20.100000000000001" customHeight="1" x14ac:dyDescent="0.2">
      <c r="B751"/>
      <c r="C751"/>
      <c r="D751"/>
    </row>
    <row r="752" spans="2:14" ht="20.100000000000001" customHeight="1" x14ac:dyDescent="0.2">
      <c r="B752"/>
      <c r="C752"/>
      <c r="D752"/>
    </row>
    <row r="753" spans="2:4" ht="20.100000000000001" customHeight="1" x14ac:dyDescent="0.2">
      <c r="B753"/>
      <c r="C753"/>
      <c r="D753"/>
    </row>
    <row r="754" spans="2:4" ht="20.100000000000001" customHeight="1" x14ac:dyDescent="0.2">
      <c r="B754"/>
      <c r="C754"/>
      <c r="D754"/>
    </row>
    <row r="755" spans="2:4" ht="20.100000000000001" customHeight="1" x14ac:dyDescent="0.2">
      <c r="B755"/>
      <c r="C755"/>
      <c r="D755"/>
    </row>
    <row r="756" spans="2:4" ht="20.100000000000001" customHeight="1" x14ac:dyDescent="0.2">
      <c r="B756"/>
      <c r="C756"/>
      <c r="D756"/>
    </row>
    <row r="757" spans="2:4" ht="20.100000000000001" customHeight="1" x14ac:dyDescent="0.2">
      <c r="B757"/>
      <c r="C757"/>
      <c r="D757"/>
    </row>
    <row r="758" spans="2:4" ht="20.100000000000001" customHeight="1" x14ac:dyDescent="0.2">
      <c r="B758"/>
      <c r="C758"/>
      <c r="D758"/>
    </row>
    <row r="759" spans="2:4" ht="20.100000000000001" customHeight="1" x14ac:dyDescent="0.2">
      <c r="B759"/>
      <c r="C759"/>
      <c r="D759"/>
    </row>
    <row r="760" spans="2:4" ht="20.100000000000001" customHeight="1" x14ac:dyDescent="0.2">
      <c r="B760"/>
      <c r="C760"/>
      <c r="D760"/>
    </row>
    <row r="761" spans="2:4" ht="20.100000000000001" customHeight="1" x14ac:dyDescent="0.2">
      <c r="B761"/>
      <c r="C761"/>
      <c r="D761"/>
    </row>
    <row r="762" spans="2:4" ht="20.100000000000001" customHeight="1" x14ac:dyDescent="0.2">
      <c r="B762"/>
      <c r="C762"/>
      <c r="D762"/>
    </row>
    <row r="763" spans="2:4" ht="20.100000000000001" customHeight="1" x14ac:dyDescent="0.2">
      <c r="B763"/>
      <c r="C763"/>
      <c r="D763"/>
    </row>
    <row r="764" spans="2:4" ht="20.100000000000001" customHeight="1" x14ac:dyDescent="0.2">
      <c r="B764"/>
      <c r="C764"/>
      <c r="D764"/>
    </row>
    <row r="765" spans="2:4" ht="20.100000000000001" customHeight="1" x14ac:dyDescent="0.2">
      <c r="B765"/>
      <c r="C765"/>
      <c r="D765"/>
    </row>
    <row r="766" spans="2:4" ht="20.100000000000001" customHeight="1" x14ac:dyDescent="0.2">
      <c r="B766"/>
      <c r="C766"/>
      <c r="D766"/>
    </row>
    <row r="767" spans="2:4" ht="20.100000000000001" customHeight="1" x14ac:dyDescent="0.2">
      <c r="B767"/>
      <c r="C767"/>
      <c r="D767"/>
    </row>
    <row r="768" spans="2:4" ht="20.100000000000001" customHeight="1" x14ac:dyDescent="0.2">
      <c r="B768"/>
      <c r="C768"/>
      <c r="D768"/>
    </row>
    <row r="769" spans="2:4" ht="20.100000000000001" customHeight="1" x14ac:dyDescent="0.2">
      <c r="B769"/>
      <c r="C769"/>
      <c r="D769"/>
    </row>
    <row r="770" spans="2:4" ht="20.100000000000001" customHeight="1" x14ac:dyDescent="0.2">
      <c r="B770"/>
      <c r="C770"/>
      <c r="D770"/>
    </row>
    <row r="771" spans="2:4" ht="20.100000000000001" customHeight="1" x14ac:dyDescent="0.2">
      <c r="B771"/>
      <c r="C771"/>
      <c r="D771"/>
    </row>
    <row r="772" spans="2:4" ht="20.100000000000001" customHeight="1" x14ac:dyDescent="0.2">
      <c r="B772"/>
      <c r="C772"/>
      <c r="D772"/>
    </row>
    <row r="773" spans="2:4" ht="20.100000000000001" customHeight="1" x14ac:dyDescent="0.2">
      <c r="B773"/>
      <c r="C773"/>
      <c r="D773"/>
    </row>
    <row r="774" spans="2:4" ht="20.100000000000001" customHeight="1" x14ac:dyDescent="0.2">
      <c r="B774"/>
      <c r="C774"/>
      <c r="D774"/>
    </row>
    <row r="775" spans="2:4" ht="20.100000000000001" customHeight="1" x14ac:dyDescent="0.2">
      <c r="B775"/>
      <c r="C775"/>
      <c r="D775"/>
    </row>
    <row r="776" spans="2:4" ht="20.100000000000001" customHeight="1" x14ac:dyDescent="0.2">
      <c r="B776"/>
      <c r="C776"/>
      <c r="D776"/>
    </row>
    <row r="777" spans="2:4" ht="20.100000000000001" customHeight="1" x14ac:dyDescent="0.2">
      <c r="B777"/>
      <c r="C777"/>
      <c r="D777"/>
    </row>
    <row r="778" spans="2:4" ht="20.100000000000001" customHeight="1" x14ac:dyDescent="0.2">
      <c r="B778"/>
      <c r="C778"/>
      <c r="D778"/>
    </row>
    <row r="779" spans="2:4" ht="20.100000000000001" customHeight="1" x14ac:dyDescent="0.2">
      <c r="B779"/>
      <c r="C779"/>
      <c r="D779"/>
    </row>
    <row r="780" spans="2:4" ht="20.100000000000001" customHeight="1" x14ac:dyDescent="0.2">
      <c r="B780"/>
      <c r="C780"/>
      <c r="D780"/>
    </row>
    <row r="781" spans="2:4" ht="20.100000000000001" customHeight="1" x14ac:dyDescent="0.2">
      <c r="B781"/>
      <c r="C781"/>
      <c r="D781"/>
    </row>
    <row r="782" spans="2:4" ht="20.100000000000001" customHeight="1" x14ac:dyDescent="0.2">
      <c r="B782"/>
      <c r="C782"/>
      <c r="D782"/>
    </row>
    <row r="783" spans="2:4" ht="20.100000000000001" customHeight="1" x14ac:dyDescent="0.2">
      <c r="B783"/>
      <c r="C783"/>
      <c r="D783"/>
    </row>
    <row r="784" spans="2:4" ht="20.100000000000001" customHeight="1" x14ac:dyDescent="0.2">
      <c r="B784"/>
      <c r="C784"/>
      <c r="D784"/>
    </row>
    <row r="785" spans="2:4" ht="20.100000000000001" customHeight="1" x14ac:dyDescent="0.2">
      <c r="B785"/>
      <c r="C785"/>
      <c r="D785"/>
    </row>
    <row r="786" spans="2:4" ht="20.100000000000001" customHeight="1" x14ac:dyDescent="0.2">
      <c r="B786"/>
      <c r="C786"/>
      <c r="D786"/>
    </row>
    <row r="787" spans="2:4" ht="20.100000000000001" customHeight="1" x14ac:dyDescent="0.2">
      <c r="B787"/>
      <c r="C787"/>
      <c r="D787"/>
    </row>
  </sheetData>
  <printOptions horizontalCentered="1"/>
  <pageMargins left="0.19685039370078741" right="0.19685039370078741" top="0.19685039370078741" bottom="0.19685039370078741" header="9.8425196850393706E-2" footer="9.8425196850393706E-2"/>
  <pageSetup paperSize="9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اسم الصنف</vt:lpstr>
      <vt:lpstr>تصنيف فرعي</vt:lpstr>
      <vt:lpstr>وحده القياس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Exported data</dc:subject>
  <dc:creator/>
  <cp:keywords/>
  <dc:description/>
  <cp:lastModifiedBy>ewef efaqfe</cp:lastModifiedBy>
  <cp:lastPrinted>2023-10-15T15:21:30Z</cp:lastPrinted>
  <dcterms:created xsi:type="dcterms:W3CDTF">2001-06-25T12:44:12Z</dcterms:created>
  <dcterms:modified xsi:type="dcterms:W3CDTF">2023-10-22T13:34:04Z</dcterms:modified>
  <cp:category>Export tools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2023-09-30T06:17:17Z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745df19a-7342-4ea1-b703-03933c6054bf</vt:lpwstr>
  </property>
  <property fmtid="{D5CDD505-2E9C-101B-9397-08002B2CF9AE}" pid="7" name="MSIP_Label_defa4170-0d19-0005-0004-bc88714345d2_ActionId">
    <vt:lpwstr>4a514c36-fbfb-4174-861a-41e49b055f04</vt:lpwstr>
  </property>
  <property fmtid="{D5CDD505-2E9C-101B-9397-08002B2CF9AE}" pid="8" name="MSIP_Label_defa4170-0d19-0005-0004-bc88714345d2_ContentBits">
    <vt:lpwstr>0</vt:lpwstr>
  </property>
</Properties>
</file>